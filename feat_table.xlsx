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ivta1597_colorado_edu/Documents/Shirts Lab/LCA_boltz_models/"/>
    </mc:Choice>
  </mc:AlternateContent>
  <xr:revisionPtr revIDLastSave="251" documentId="8_{C6F54AFA-60FD-B04F-BBB7-75B2589805D3}" xr6:coauthVersionLast="47" xr6:coauthVersionMax="47" xr10:uidLastSave="{98C81B9C-A214-B645-BBD6-D23916481040}"/>
  <bookViews>
    <workbookView xWindow="41020" yWindow="3760" windowWidth="29400" windowHeight="17160" activeTab="1" xr2:uid="{27E63E85-0623-8743-9D49-3663B37B390F}"/>
  </bookViews>
  <sheets>
    <sheet name="Sheet1" sheetId="1" r:id="rId1"/>
    <sheet name="Sheet2" sheetId="3" r:id="rId2"/>
  </sheets>
  <definedNames>
    <definedName name="_xlnm._FilterDatabase" localSheetId="0" hidden="1">Sheet1!$A$1:$P$34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C63" i="1"/>
  <c r="C63" i="3"/>
  <c r="C64" i="3"/>
  <c r="C62" i="3"/>
  <c r="C61" i="3"/>
  <c r="C62" i="1"/>
  <c r="C61" i="1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2" i="1"/>
</calcChain>
</file>

<file path=xl/sharedStrings.xml><?xml version="1.0" encoding="utf-8"?>
<sst xmlns="http://schemas.openxmlformats.org/spreadsheetml/2006/main" count="191" uniqueCount="42">
  <si>
    <t>Group</t>
  </si>
  <si>
    <t>Binder</t>
  </si>
  <si>
    <t>Nonbinder</t>
  </si>
  <si>
    <t>Gate mean (A)</t>
  </si>
  <si>
    <t>Gate SD (A)</t>
  </si>
  <si>
    <t>Latch mean (A)</t>
  </si>
  <si>
    <t>Latch SD (A)</t>
  </si>
  <si>
    <t>Lb7a5 mean (A)</t>
  </si>
  <si>
    <t>Lb7a5 SD (A)</t>
  </si>
  <si>
    <t>Recoil mean (A)</t>
  </si>
  <si>
    <t>Recoil SD (A)</t>
  </si>
  <si>
    <t>Label</t>
  </si>
  <si>
    <t>binder</t>
  </si>
  <si>
    <t>0777</t>
  </si>
  <si>
    <t>nonbinder</t>
  </si>
  <si>
    <t>0827</t>
  </si>
  <si>
    <t>0664</t>
  </si>
  <si>
    <t>3070</t>
  </si>
  <si>
    <t>3074</t>
  </si>
  <si>
    <t>0393</t>
  </si>
  <si>
    <t>low_pkt</t>
  </si>
  <si>
    <t>0715</t>
  </si>
  <si>
    <t>fail_gate</t>
  </si>
  <si>
    <t>1331</t>
  </si>
  <si>
    <t>3092</t>
  </si>
  <si>
    <t>3098</t>
  </si>
  <si>
    <t>1939</t>
  </si>
  <si>
    <t>1931</t>
  </si>
  <si>
    <t>1094</t>
  </si>
  <si>
    <t>0482</t>
  </si>
  <si>
    <t>1824</t>
  </si>
  <si>
    <t>0008</t>
  </si>
  <si>
    <t>ID</t>
  </si>
  <si>
    <t>Gate-latch mean (A)</t>
  </si>
  <si>
    <t>Gate-latch SD (A)</t>
  </si>
  <si>
    <t>Closed % (&lt;9.5 A)</t>
  </si>
  <si>
    <t>Open % (&gt;11.5 A)</t>
  </si>
  <si>
    <t>Intermediate %</t>
  </si>
  <si>
    <t>0052</t>
  </si>
  <si>
    <t>0091</t>
  </si>
  <si>
    <t>0269</t>
  </si>
  <si>
    <t>0272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</si>
</sst>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rgb="FF000000"/>
      <name val="Arial"/>
      <family val="2"/>
    </font>
    <font>
      <b/>
      <sz val="11"/>
      <color theme="1"/>
      <name val="Aptos Narrow"/>
      <scheme val="minor"/>
    </font>
    <font>
      <b/>
      <sz val="11"/>
      <color rgb="FF000000"/>
      <name val="Helvetica Neue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00000"/>
      <name val="Helvetica Neue"/>
      <family val="2"/>
    </font>
    <font>
      <sz val="11"/>
      <color theme="1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12" fillId="0" borderId="0" xfId="0" applyFont="1"/>
    <xf numFmtId="49" fontId="7" fillId="0" borderId="0" xfId="0" applyNumberFormat="1" applyFont="1" applyAlignment="1">
      <alignment horizontal="right"/>
    </xf>
    <xf numFmtId="49" fontId="6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49" fontId="9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7669D-DCA0-184E-97A6-09176FE4B22E}">
  <dimension ref="A1:V85"/>
  <sheetViews>
    <sheetView zoomScale="114" workbookViewId="0">
      <pane xSplit="1" ySplit="1" topLeftCell="B43" activePane="bottomRight" state="frozen"/>
      <selection pane="topRight" activeCell="B1" sqref="B1"/>
      <selection pane="bottomLeft" activeCell="A2" sqref="A2"/>
      <selection pane="bottomRight" activeCell="N63" sqref="N63:P64"/>
    </sheetView>
  </sheetViews>
  <sheetFormatPr baseColWidth="10" defaultRowHeight="15" x14ac:dyDescent="0.2"/>
  <cols>
    <col min="1" max="1" width="10.83203125" style="11"/>
    <col min="2" max="4" width="10.83203125" style="9"/>
    <col min="5" max="5" width="17.83203125" style="9" bestFit="1" customWidth="1"/>
    <col min="6" max="6" width="15.5" style="9" bestFit="1" customWidth="1"/>
    <col min="7" max="7" width="18.5" style="9" bestFit="1" customWidth="1"/>
    <col min="8" max="8" width="16.33203125" style="9" bestFit="1" customWidth="1"/>
    <col min="9" max="16384" width="10.83203125" style="9"/>
  </cols>
  <sheetData>
    <row r="1" spans="1:22" s="4" customFormat="1" x14ac:dyDescent="0.2">
      <c r="A1" s="10" t="s">
        <v>32</v>
      </c>
      <c r="B1" s="3" t="s">
        <v>0</v>
      </c>
      <c r="C1" s="3" t="s">
        <v>11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2" t="s">
        <v>33</v>
      </c>
      <c r="M1" s="12" t="s">
        <v>34</v>
      </c>
      <c r="N1" s="12" t="s">
        <v>35</v>
      </c>
      <c r="O1" s="12" t="s">
        <v>36</v>
      </c>
      <c r="P1" s="12" t="s">
        <v>37</v>
      </c>
      <c r="Q1" s="1"/>
      <c r="R1" s="5"/>
      <c r="S1" s="5"/>
      <c r="T1" s="5"/>
      <c r="U1" s="5"/>
      <c r="V1" s="5"/>
    </row>
    <row r="2" spans="1:22" x14ac:dyDescent="0.2">
      <c r="A2" s="15">
        <v>16</v>
      </c>
      <c r="B2" s="6" t="s">
        <v>12</v>
      </c>
      <c r="C2" s="7">
        <f>IF(B2="Binder", 1,0)</f>
        <v>1</v>
      </c>
      <c r="D2" s="7">
        <v>0.31030000000000002</v>
      </c>
      <c r="E2" s="7">
        <v>5.2499999999999998E-2</v>
      </c>
      <c r="F2" s="7">
        <v>0.34320000000000001</v>
      </c>
      <c r="G2" s="7">
        <v>6.2100000000000002E-2</v>
      </c>
      <c r="H2" s="7">
        <v>0.68389999999999995</v>
      </c>
      <c r="I2" s="7">
        <v>7.5899999999999995E-2</v>
      </c>
      <c r="J2" s="7">
        <v>0.43099999999999999</v>
      </c>
      <c r="K2" s="7">
        <v>0.13150000000000001</v>
      </c>
      <c r="L2" s="13">
        <v>10.494300000000001</v>
      </c>
      <c r="M2" s="13">
        <v>1.3150999999999999</v>
      </c>
      <c r="N2" s="13">
        <v>21.27</v>
      </c>
      <c r="O2" s="13">
        <v>25.86</v>
      </c>
      <c r="P2" s="13">
        <v>52.87</v>
      </c>
      <c r="Q2" s="2"/>
      <c r="R2" s="8"/>
      <c r="S2" s="8"/>
      <c r="T2" s="8"/>
      <c r="U2" s="8"/>
      <c r="V2" s="8"/>
    </row>
    <row r="3" spans="1:22" x14ac:dyDescent="0.2">
      <c r="A3" s="15">
        <v>14</v>
      </c>
      <c r="B3" s="6" t="s">
        <v>12</v>
      </c>
      <c r="C3" s="7">
        <f t="shared" ref="C3:C64" si="0">IF(B3="Binder", 1,0)</f>
        <v>1</v>
      </c>
      <c r="D3" s="7">
        <v>0.28110000000000002</v>
      </c>
      <c r="E3" s="7">
        <v>5.4199999999999998E-2</v>
      </c>
      <c r="F3" s="7">
        <v>0.2676</v>
      </c>
      <c r="G3" s="7">
        <v>3.8300000000000001E-2</v>
      </c>
      <c r="H3" s="7">
        <v>0.33979999999999999</v>
      </c>
      <c r="I3" s="7">
        <v>5.4300000000000001E-2</v>
      </c>
      <c r="J3" s="7">
        <v>0.33789999999999998</v>
      </c>
      <c r="K3" s="7">
        <v>5.4399999999999997E-2</v>
      </c>
      <c r="L3" s="13">
        <v>8.2758000000000003</v>
      </c>
      <c r="M3" s="13">
        <v>0.4521</v>
      </c>
      <c r="N3" s="13">
        <v>97.72</v>
      </c>
      <c r="O3" s="13">
        <v>0.06</v>
      </c>
      <c r="P3" s="13">
        <v>2.23</v>
      </c>
      <c r="Q3" s="2"/>
      <c r="R3" s="8"/>
      <c r="S3" s="8"/>
      <c r="T3" s="8"/>
      <c r="U3" s="8"/>
      <c r="V3" s="8"/>
    </row>
    <row r="4" spans="1:22" x14ac:dyDescent="0.2">
      <c r="A4" s="15">
        <v>10</v>
      </c>
      <c r="B4" s="6" t="s">
        <v>12</v>
      </c>
      <c r="C4" s="7">
        <f t="shared" si="0"/>
        <v>1</v>
      </c>
      <c r="D4" s="7">
        <v>0.28610000000000002</v>
      </c>
      <c r="E4" s="7">
        <v>5.5100000000000003E-2</v>
      </c>
      <c r="F4" s="7">
        <v>0.31740000000000002</v>
      </c>
      <c r="G4" s="7">
        <v>5.3600000000000002E-2</v>
      </c>
      <c r="H4" s="7">
        <v>0.49320000000000003</v>
      </c>
      <c r="I4" s="7">
        <v>0.1055</v>
      </c>
      <c r="J4" s="7">
        <v>0.55359999999999998</v>
      </c>
      <c r="K4" s="7">
        <v>0.1234</v>
      </c>
      <c r="L4" s="13">
        <v>9.9240999999999993</v>
      </c>
      <c r="M4" s="13">
        <v>0.57979999999999998</v>
      </c>
      <c r="N4" s="13">
        <v>17.88</v>
      </c>
      <c r="O4" s="13">
        <v>0.84</v>
      </c>
      <c r="P4" s="13">
        <v>81.28</v>
      </c>
      <c r="Q4" s="2"/>
      <c r="R4" s="8"/>
      <c r="S4" s="8"/>
      <c r="T4" s="8"/>
      <c r="U4" s="8"/>
      <c r="V4" s="8"/>
    </row>
    <row r="5" spans="1:22" x14ac:dyDescent="0.2">
      <c r="A5" s="15">
        <v>17</v>
      </c>
      <c r="B5" s="6" t="s">
        <v>12</v>
      </c>
      <c r="C5" s="7">
        <f t="shared" si="0"/>
        <v>1</v>
      </c>
      <c r="D5" s="7">
        <v>0.29110000000000003</v>
      </c>
      <c r="E5" s="7">
        <v>4.8599999999999997E-2</v>
      </c>
      <c r="F5" s="7">
        <v>0.3216</v>
      </c>
      <c r="G5" s="7">
        <v>6.4000000000000001E-2</v>
      </c>
      <c r="H5" s="7">
        <v>0.95499999999999996</v>
      </c>
      <c r="I5" s="7">
        <v>0.25230000000000002</v>
      </c>
      <c r="J5" s="7">
        <v>0.42259999999999998</v>
      </c>
      <c r="K5" s="7">
        <v>0.14449999999999999</v>
      </c>
      <c r="L5" s="13">
        <v>8.5521999999999991</v>
      </c>
      <c r="M5" s="13">
        <v>0.76249999999999996</v>
      </c>
      <c r="N5" s="13">
        <v>89.79</v>
      </c>
      <c r="O5" s="13">
        <v>0.42</v>
      </c>
      <c r="P5" s="13">
        <v>9.7899999999999991</v>
      </c>
      <c r="Q5" s="2"/>
      <c r="R5" s="8"/>
      <c r="S5" s="8"/>
      <c r="T5" s="8"/>
      <c r="U5" s="8"/>
      <c r="V5" s="8"/>
    </row>
    <row r="6" spans="1:22" x14ac:dyDescent="0.2">
      <c r="A6" s="15">
        <v>39</v>
      </c>
      <c r="B6" s="6" t="s">
        <v>12</v>
      </c>
      <c r="C6" s="7">
        <f t="shared" si="0"/>
        <v>1</v>
      </c>
      <c r="D6" s="7">
        <v>0.36609999999999998</v>
      </c>
      <c r="E6" s="7">
        <v>5.7200000000000001E-2</v>
      </c>
      <c r="F6" s="7">
        <v>0.55920000000000003</v>
      </c>
      <c r="G6" s="7">
        <v>0.15970000000000001</v>
      </c>
      <c r="H6" s="7">
        <v>0.68379999999999996</v>
      </c>
      <c r="I6" s="7">
        <v>0.1321</v>
      </c>
      <c r="J6" s="7">
        <v>0.60950000000000004</v>
      </c>
      <c r="K6" s="7">
        <v>0.13669999999999999</v>
      </c>
      <c r="L6" s="13">
        <v>9.4564000000000004</v>
      </c>
      <c r="M6" s="13">
        <v>1.4238</v>
      </c>
      <c r="N6" s="13">
        <v>41.79</v>
      </c>
      <c r="O6" s="13">
        <v>6.79</v>
      </c>
      <c r="P6" s="13">
        <v>51.42</v>
      </c>
      <c r="Q6" s="2"/>
      <c r="R6" s="8"/>
      <c r="S6" s="8"/>
      <c r="T6" s="8"/>
      <c r="U6" s="8"/>
      <c r="V6" s="8"/>
    </row>
    <row r="7" spans="1:22" x14ac:dyDescent="0.2">
      <c r="A7" s="15">
        <v>42</v>
      </c>
      <c r="B7" s="6" t="s">
        <v>12</v>
      </c>
      <c r="C7" s="7">
        <f t="shared" si="0"/>
        <v>1</v>
      </c>
      <c r="D7" s="7">
        <v>0.30499999999999999</v>
      </c>
      <c r="E7" s="7">
        <v>5.5300000000000002E-2</v>
      </c>
      <c r="F7" s="7">
        <v>0.79800000000000004</v>
      </c>
      <c r="G7" s="7">
        <v>0.43490000000000001</v>
      </c>
      <c r="H7" s="7">
        <v>0.5454</v>
      </c>
      <c r="I7" s="7">
        <v>0.10970000000000001</v>
      </c>
      <c r="J7" s="7">
        <v>0.32979999999999998</v>
      </c>
      <c r="K7" s="7">
        <v>5.79E-2</v>
      </c>
      <c r="L7" s="13">
        <v>11.260999999999999</v>
      </c>
      <c r="M7" s="13">
        <v>1.2794000000000001</v>
      </c>
      <c r="N7" s="13">
        <v>10.29</v>
      </c>
      <c r="O7" s="13">
        <v>46.83</v>
      </c>
      <c r="P7" s="13">
        <v>42.88</v>
      </c>
      <c r="Q7" s="2"/>
      <c r="R7" s="8"/>
      <c r="S7" s="8"/>
      <c r="T7" s="8"/>
      <c r="U7" s="8"/>
      <c r="V7" s="8"/>
    </row>
    <row r="8" spans="1:22" x14ac:dyDescent="0.2">
      <c r="A8" s="15">
        <v>1</v>
      </c>
      <c r="B8" s="6" t="s">
        <v>14</v>
      </c>
      <c r="C8" s="7">
        <f t="shared" si="0"/>
        <v>0</v>
      </c>
      <c r="D8" s="7">
        <v>0.6089</v>
      </c>
      <c r="E8" s="7">
        <v>0.19850000000000001</v>
      </c>
      <c r="F8" s="7">
        <v>0.42280000000000001</v>
      </c>
      <c r="G8" s="7">
        <v>0.11509999999999999</v>
      </c>
      <c r="H8" s="7">
        <v>0.51659999999999995</v>
      </c>
      <c r="I8" s="7">
        <v>0.10299999999999999</v>
      </c>
      <c r="J8" s="7">
        <v>0.65880000000000005</v>
      </c>
      <c r="K8" s="7">
        <v>0.21279999999999999</v>
      </c>
      <c r="L8" s="13">
        <v>13.0822</v>
      </c>
      <c r="M8" s="13">
        <v>1.7118</v>
      </c>
      <c r="N8" s="13">
        <v>4.9000000000000004</v>
      </c>
      <c r="O8" s="13">
        <v>87.48</v>
      </c>
      <c r="P8" s="13">
        <v>7.62</v>
      </c>
      <c r="Q8" s="2"/>
      <c r="R8" s="8"/>
      <c r="S8" s="8"/>
      <c r="T8" s="8"/>
      <c r="U8" s="8"/>
      <c r="V8" s="8"/>
    </row>
    <row r="9" spans="1:22" x14ac:dyDescent="0.2">
      <c r="A9" s="15">
        <v>2</v>
      </c>
      <c r="B9" s="6" t="s">
        <v>14</v>
      </c>
      <c r="C9" s="7">
        <f t="shared" si="0"/>
        <v>0</v>
      </c>
      <c r="D9" s="7">
        <v>0.38429999999999997</v>
      </c>
      <c r="E9" s="7">
        <v>8.8099999999999998E-2</v>
      </c>
      <c r="F9" s="7">
        <v>0.4572</v>
      </c>
      <c r="G9" s="7">
        <v>3.8300000000000001E-2</v>
      </c>
      <c r="H9" s="7">
        <v>0.82740000000000002</v>
      </c>
      <c r="I9" s="7">
        <v>0.16009999999999999</v>
      </c>
      <c r="J9" s="7">
        <v>0.43880000000000002</v>
      </c>
      <c r="K9" s="7">
        <v>0.1225</v>
      </c>
      <c r="L9" s="13">
        <v>13.0822</v>
      </c>
      <c r="M9" s="13">
        <v>1.7118</v>
      </c>
      <c r="N9" s="13">
        <v>4.9000000000000004</v>
      </c>
      <c r="O9" s="13">
        <v>87.48</v>
      </c>
      <c r="P9" s="13">
        <v>7.62</v>
      </c>
      <c r="Q9" s="2"/>
      <c r="R9" s="8"/>
      <c r="S9" s="8"/>
      <c r="T9" s="8"/>
      <c r="U9" s="8"/>
      <c r="V9" s="8"/>
    </row>
    <row r="10" spans="1:22" x14ac:dyDescent="0.2">
      <c r="A10" s="15">
        <v>3</v>
      </c>
      <c r="B10" s="6" t="s">
        <v>14</v>
      </c>
      <c r="C10" s="7">
        <f t="shared" si="0"/>
        <v>0</v>
      </c>
      <c r="D10" s="7">
        <v>1.1829000000000001</v>
      </c>
      <c r="E10" s="7">
        <v>0.3715</v>
      </c>
      <c r="F10" s="7">
        <v>0.75819999999999999</v>
      </c>
      <c r="G10" s="7">
        <v>0.20250000000000001</v>
      </c>
      <c r="H10" s="7">
        <v>0.82379999999999998</v>
      </c>
      <c r="I10" s="7">
        <v>0.161</v>
      </c>
      <c r="J10" s="7">
        <v>0.53849999999999998</v>
      </c>
      <c r="K10" s="7">
        <v>0.10970000000000001</v>
      </c>
      <c r="L10" s="13">
        <v>14.7315</v>
      </c>
      <c r="M10" s="13">
        <v>2.2435999999999998</v>
      </c>
      <c r="N10" s="13">
        <v>0.14000000000000001</v>
      </c>
      <c r="O10" s="13">
        <v>91.88</v>
      </c>
      <c r="P10" s="13">
        <v>7.98</v>
      </c>
      <c r="Q10" s="2"/>
      <c r="R10" s="8"/>
      <c r="S10" s="8"/>
      <c r="T10" s="8"/>
      <c r="U10" s="8"/>
      <c r="V10" s="8"/>
    </row>
    <row r="11" spans="1:22" x14ac:dyDescent="0.2">
      <c r="A11" s="15">
        <v>4</v>
      </c>
      <c r="B11" s="6" t="s">
        <v>14</v>
      </c>
      <c r="C11" s="7">
        <f t="shared" si="0"/>
        <v>0</v>
      </c>
      <c r="D11" s="7">
        <v>0.70930000000000004</v>
      </c>
      <c r="E11" s="7">
        <v>9.7500000000000003E-2</v>
      </c>
      <c r="F11" s="7">
        <v>0.38600000000000001</v>
      </c>
      <c r="G11" s="7">
        <v>0.11600000000000001</v>
      </c>
      <c r="H11" s="7">
        <v>0.83220000000000005</v>
      </c>
      <c r="I11" s="7">
        <v>0.14349999999999999</v>
      </c>
      <c r="J11" s="7">
        <v>0.52980000000000005</v>
      </c>
      <c r="K11" s="7">
        <v>0.13719999999999999</v>
      </c>
      <c r="L11" s="13">
        <v>13.4703</v>
      </c>
      <c r="M11" s="13">
        <v>0.98519999999999996</v>
      </c>
      <c r="N11" s="13">
        <v>0</v>
      </c>
      <c r="O11" s="13">
        <v>98.73</v>
      </c>
      <c r="P11" s="13">
        <v>1.27</v>
      </c>
      <c r="Q11" s="2"/>
      <c r="R11" s="8"/>
      <c r="S11" s="8"/>
      <c r="T11" s="8"/>
      <c r="U11" s="8"/>
      <c r="V11" s="8"/>
    </row>
    <row r="12" spans="1:22" x14ac:dyDescent="0.2">
      <c r="A12" s="15">
        <v>5</v>
      </c>
      <c r="B12" s="6" t="s">
        <v>14</v>
      </c>
      <c r="C12" s="7">
        <f t="shared" si="0"/>
        <v>0</v>
      </c>
      <c r="D12" s="7">
        <v>0.71660000000000001</v>
      </c>
      <c r="E12" s="7">
        <v>0.1164</v>
      </c>
      <c r="F12" s="7">
        <v>0.629</v>
      </c>
      <c r="G12" s="7">
        <v>0.21029999999999999</v>
      </c>
      <c r="H12" s="7">
        <v>0.75019999999999998</v>
      </c>
      <c r="I12" s="7">
        <v>0.16470000000000001</v>
      </c>
      <c r="J12" s="7">
        <v>0.63160000000000005</v>
      </c>
      <c r="K12" s="7">
        <v>0.17599999999999999</v>
      </c>
      <c r="L12" s="13">
        <v>13.504099999999999</v>
      </c>
      <c r="M12" s="13">
        <v>1.2190000000000001</v>
      </c>
      <c r="N12" s="13">
        <v>0.04</v>
      </c>
      <c r="O12" s="13">
        <v>93.13</v>
      </c>
      <c r="P12" s="13">
        <v>6.83</v>
      </c>
      <c r="Q12" s="2"/>
      <c r="R12" s="8"/>
      <c r="S12" s="8"/>
      <c r="T12" s="8"/>
      <c r="U12" s="8"/>
      <c r="V12" s="8"/>
    </row>
    <row r="13" spans="1:22" x14ac:dyDescent="0.2">
      <c r="A13" s="15">
        <v>6</v>
      </c>
      <c r="B13" s="6" t="s">
        <v>14</v>
      </c>
      <c r="C13" s="7">
        <f t="shared" si="0"/>
        <v>0</v>
      </c>
      <c r="D13" s="7">
        <v>0.40610000000000002</v>
      </c>
      <c r="E13" s="7">
        <v>8.0299999999999996E-2</v>
      </c>
      <c r="F13" s="7">
        <v>0.46060000000000001</v>
      </c>
      <c r="G13" s="7">
        <v>3.7699999999999997E-2</v>
      </c>
      <c r="H13" s="7">
        <v>0.60460000000000003</v>
      </c>
      <c r="I13" s="7">
        <v>0.1119</v>
      </c>
      <c r="J13" s="7">
        <v>0.33939999999999998</v>
      </c>
      <c r="K13" s="7">
        <v>6.59E-2</v>
      </c>
      <c r="L13" s="13">
        <v>13.4023</v>
      </c>
      <c r="M13" s="13">
        <v>1.2374000000000001</v>
      </c>
      <c r="N13" s="13">
        <v>0.22</v>
      </c>
      <c r="O13" s="13">
        <v>95.44</v>
      </c>
      <c r="P13" s="13">
        <v>4.34</v>
      </c>
      <c r="Q13" s="2"/>
      <c r="R13" s="8"/>
      <c r="S13" s="8"/>
      <c r="T13" s="8"/>
      <c r="U13" s="8"/>
      <c r="V13" s="8"/>
    </row>
    <row r="14" spans="1:22" x14ac:dyDescent="0.2">
      <c r="A14" s="15">
        <v>7</v>
      </c>
      <c r="B14" s="6" t="s">
        <v>14</v>
      </c>
      <c r="C14" s="7">
        <f t="shared" si="0"/>
        <v>0</v>
      </c>
      <c r="D14" s="7">
        <v>0.97640000000000005</v>
      </c>
      <c r="E14" s="7">
        <v>0.41710000000000003</v>
      </c>
      <c r="F14" s="7">
        <v>0.44379999999999997</v>
      </c>
      <c r="G14" s="7">
        <v>5.7700000000000001E-2</v>
      </c>
      <c r="H14" s="7">
        <v>0.66649999999999998</v>
      </c>
      <c r="I14" s="7">
        <v>0.12790000000000001</v>
      </c>
      <c r="J14" s="7">
        <v>0.63649999999999995</v>
      </c>
      <c r="K14" s="7">
        <v>0.13650000000000001</v>
      </c>
      <c r="L14" s="13">
        <v>13.516400000000001</v>
      </c>
      <c r="M14" s="13">
        <v>3.294</v>
      </c>
      <c r="N14" s="13">
        <v>2.02</v>
      </c>
      <c r="O14" s="13">
        <v>57.6</v>
      </c>
      <c r="P14" s="13">
        <v>40.380000000000003</v>
      </c>
      <c r="Q14" s="2"/>
    </row>
    <row r="15" spans="1:22" ht="16" x14ac:dyDescent="0.2">
      <c r="A15" s="16">
        <v>3069</v>
      </c>
      <c r="B15" s="6" t="s">
        <v>12</v>
      </c>
      <c r="C15" s="7">
        <f t="shared" si="0"/>
        <v>1</v>
      </c>
      <c r="D15" s="14">
        <v>0.37</v>
      </c>
      <c r="E15" s="14">
        <v>8.9599999999999999E-2</v>
      </c>
      <c r="F15" s="14">
        <v>0.317</v>
      </c>
      <c r="G15" s="14">
        <v>3.5799999999999998E-2</v>
      </c>
      <c r="H15" s="14">
        <v>1.012</v>
      </c>
      <c r="I15" s="14">
        <v>0.30199999999999999</v>
      </c>
      <c r="J15" s="14">
        <v>0.52080000000000004</v>
      </c>
      <c r="K15" s="14">
        <v>0.1386</v>
      </c>
      <c r="L15" s="14">
        <v>9.8214000000000006</v>
      </c>
      <c r="M15" s="14">
        <v>0.71260000000000001</v>
      </c>
      <c r="N15" s="14">
        <v>32.94</v>
      </c>
      <c r="O15" s="14">
        <v>3.04</v>
      </c>
      <c r="P15" s="14">
        <v>64.02</v>
      </c>
    </row>
    <row r="16" spans="1:22" ht="16" x14ac:dyDescent="0.2">
      <c r="A16" s="16" t="s">
        <v>13</v>
      </c>
      <c r="B16" s="6" t="s">
        <v>14</v>
      </c>
      <c r="C16" s="7">
        <f t="shared" si="0"/>
        <v>0</v>
      </c>
      <c r="D16" s="14">
        <v>0.46960000000000002</v>
      </c>
      <c r="E16" s="14">
        <v>0.12690000000000001</v>
      </c>
      <c r="F16" s="14">
        <v>0.33879999999999999</v>
      </c>
      <c r="G16" s="14">
        <v>9.0499999999999997E-2</v>
      </c>
      <c r="H16" s="14">
        <v>0.52500000000000002</v>
      </c>
      <c r="I16" s="14">
        <v>9.74E-2</v>
      </c>
      <c r="J16" s="14">
        <v>0.52359999999999995</v>
      </c>
      <c r="K16" s="14">
        <v>0.22239999999999999</v>
      </c>
      <c r="L16" s="14">
        <v>8.5349000000000004</v>
      </c>
      <c r="M16" s="14">
        <v>0.64219999999999999</v>
      </c>
      <c r="N16" s="14">
        <v>93.25</v>
      </c>
      <c r="O16" s="14">
        <v>0.15</v>
      </c>
      <c r="P16" s="14">
        <v>6.6</v>
      </c>
    </row>
    <row r="17" spans="1:16" ht="16" x14ac:dyDescent="0.2">
      <c r="A17" s="16" t="s">
        <v>15</v>
      </c>
      <c r="B17" s="6" t="s">
        <v>14</v>
      </c>
      <c r="C17" s="7">
        <f t="shared" si="0"/>
        <v>0</v>
      </c>
      <c r="D17" s="14">
        <v>0.30559999999999998</v>
      </c>
      <c r="E17" s="14">
        <v>5.4100000000000002E-2</v>
      </c>
      <c r="F17" s="14">
        <v>0.23860000000000001</v>
      </c>
      <c r="G17" s="14">
        <v>3.39E-2</v>
      </c>
      <c r="H17" s="14">
        <v>0.50490000000000002</v>
      </c>
      <c r="I17" s="14">
        <v>8.2900000000000001E-2</v>
      </c>
      <c r="J17" s="14">
        <v>0.45150000000000001</v>
      </c>
      <c r="K17" s="14">
        <v>0.15540000000000001</v>
      </c>
      <c r="L17" s="14">
        <v>8.1471</v>
      </c>
      <c r="M17" s="14">
        <v>0.9123</v>
      </c>
      <c r="N17" s="14">
        <v>92.2</v>
      </c>
      <c r="O17" s="14">
        <v>1.35</v>
      </c>
      <c r="P17" s="14">
        <v>6.45</v>
      </c>
    </row>
    <row r="18" spans="1:16" ht="16" x14ac:dyDescent="0.2">
      <c r="A18" s="16" t="s">
        <v>16</v>
      </c>
      <c r="B18" s="6" t="s">
        <v>14</v>
      </c>
      <c r="C18" s="7">
        <f t="shared" si="0"/>
        <v>0</v>
      </c>
      <c r="D18" s="14">
        <v>0.3604</v>
      </c>
      <c r="E18" s="14">
        <v>6.25E-2</v>
      </c>
      <c r="F18" s="14">
        <v>0.46860000000000002</v>
      </c>
      <c r="G18" s="14">
        <v>6.08E-2</v>
      </c>
      <c r="H18" s="14">
        <v>0.42580000000000001</v>
      </c>
      <c r="I18" s="14">
        <v>7.7399999999999997E-2</v>
      </c>
      <c r="J18" s="14">
        <v>0.56879999999999997</v>
      </c>
      <c r="K18" s="14">
        <v>0.17399999999999999</v>
      </c>
      <c r="L18" s="14">
        <v>11.778600000000001</v>
      </c>
      <c r="M18" s="14">
        <v>1.2297</v>
      </c>
      <c r="N18" s="14">
        <v>1.61</v>
      </c>
      <c r="O18" s="14">
        <v>58.83</v>
      </c>
      <c r="P18" s="14">
        <v>39.56</v>
      </c>
    </row>
    <row r="19" spans="1:16" ht="16" x14ac:dyDescent="0.2">
      <c r="A19" s="16" t="s">
        <v>17</v>
      </c>
      <c r="B19" s="6" t="s">
        <v>12</v>
      </c>
      <c r="C19" s="7">
        <f t="shared" si="0"/>
        <v>1</v>
      </c>
      <c r="D19" s="14">
        <v>0.31809999999999999</v>
      </c>
      <c r="E19" s="14">
        <v>4.7199999999999999E-2</v>
      </c>
      <c r="F19" s="14">
        <v>0.40239999999999998</v>
      </c>
      <c r="G19" s="14">
        <v>0.11849999999999999</v>
      </c>
      <c r="H19" s="14">
        <v>0.84509999999999996</v>
      </c>
      <c r="I19" s="14">
        <v>0.1115</v>
      </c>
      <c r="J19" s="14">
        <v>0.49869999999999998</v>
      </c>
      <c r="K19" s="14">
        <v>0.15240000000000001</v>
      </c>
      <c r="L19" s="14">
        <v>8.3755000000000006</v>
      </c>
      <c r="M19" s="14">
        <v>1.1275999999999999</v>
      </c>
      <c r="N19" s="14">
        <v>83.14</v>
      </c>
      <c r="O19" s="14">
        <v>0.06</v>
      </c>
      <c r="P19" s="14">
        <v>16.8</v>
      </c>
    </row>
    <row r="20" spans="1:16" ht="16" x14ac:dyDescent="0.2">
      <c r="A20" s="16" t="s">
        <v>18</v>
      </c>
      <c r="B20" s="6" t="s">
        <v>12</v>
      </c>
      <c r="C20" s="7">
        <f t="shared" si="0"/>
        <v>1</v>
      </c>
      <c r="D20" s="14">
        <v>0.33229999999999998</v>
      </c>
      <c r="E20" s="14">
        <v>6.7599999999999993E-2</v>
      </c>
      <c r="F20" s="14">
        <v>0.33279999999999998</v>
      </c>
      <c r="G20" s="14">
        <v>6.4199999999999993E-2</v>
      </c>
      <c r="H20" s="14">
        <v>1.296</v>
      </c>
      <c r="I20" s="14">
        <v>0.2591</v>
      </c>
      <c r="J20" s="14">
        <v>0.32379999999999998</v>
      </c>
      <c r="K20" s="14">
        <v>6.4299999999999996E-2</v>
      </c>
      <c r="L20" s="14">
        <v>10.591699999999999</v>
      </c>
      <c r="M20" s="14">
        <v>0.80010000000000003</v>
      </c>
      <c r="N20" s="14">
        <v>3.99</v>
      </c>
      <c r="O20" s="14">
        <v>12.77</v>
      </c>
      <c r="P20" s="14">
        <v>83.24</v>
      </c>
    </row>
    <row r="21" spans="1:16" ht="16" x14ac:dyDescent="0.2">
      <c r="A21" s="16" t="s">
        <v>19</v>
      </c>
      <c r="B21" s="6" t="s">
        <v>20</v>
      </c>
      <c r="C21" s="7">
        <f t="shared" si="0"/>
        <v>0</v>
      </c>
      <c r="D21" s="14">
        <v>0.34039999999999998</v>
      </c>
      <c r="E21" s="14">
        <v>6.83E-2</v>
      </c>
      <c r="F21" s="14">
        <v>0.39979999999999999</v>
      </c>
      <c r="G21" s="14">
        <v>6.0400000000000002E-2</v>
      </c>
      <c r="H21" s="14">
        <v>0.49980000000000002</v>
      </c>
      <c r="I21" s="14">
        <v>8.6400000000000005E-2</v>
      </c>
      <c r="J21" s="14">
        <v>0.32</v>
      </c>
      <c r="K21" s="14">
        <v>6.8900000000000003E-2</v>
      </c>
      <c r="L21" s="14">
        <v>7.5930999999999997</v>
      </c>
      <c r="M21" s="14">
        <v>1.5761000000000001</v>
      </c>
      <c r="N21" s="14">
        <v>84.5</v>
      </c>
      <c r="O21" s="14">
        <v>0.82</v>
      </c>
      <c r="P21" s="14">
        <v>14.68</v>
      </c>
    </row>
    <row r="22" spans="1:16" ht="16" x14ac:dyDescent="0.2">
      <c r="A22" s="16" t="s">
        <v>21</v>
      </c>
      <c r="B22" s="6" t="s">
        <v>22</v>
      </c>
      <c r="C22" s="7">
        <f t="shared" si="0"/>
        <v>0</v>
      </c>
      <c r="D22" s="14">
        <v>0.65569999999999995</v>
      </c>
      <c r="E22" s="14">
        <v>0.26029999999999998</v>
      </c>
      <c r="F22" s="14">
        <v>0.38879999999999998</v>
      </c>
      <c r="G22" s="14">
        <v>9.0300000000000005E-2</v>
      </c>
      <c r="H22" s="14">
        <v>0.72160000000000002</v>
      </c>
      <c r="I22" s="14">
        <v>0.11020000000000001</v>
      </c>
      <c r="J22" s="14">
        <v>0.3679</v>
      </c>
      <c r="K22" s="14">
        <v>8.8400000000000006E-2</v>
      </c>
      <c r="L22" s="14">
        <v>10.680999999999999</v>
      </c>
      <c r="M22" s="14">
        <v>1.3997999999999999</v>
      </c>
      <c r="N22" s="14">
        <v>13.69</v>
      </c>
      <c r="O22" s="14">
        <v>27.51</v>
      </c>
      <c r="P22" s="14">
        <v>58.8</v>
      </c>
    </row>
    <row r="23" spans="1:16" ht="16" x14ac:dyDescent="0.2">
      <c r="A23" s="16" t="s">
        <v>23</v>
      </c>
      <c r="B23" s="6" t="s">
        <v>20</v>
      </c>
      <c r="C23" s="7">
        <f t="shared" si="0"/>
        <v>0</v>
      </c>
      <c r="D23" s="14">
        <v>0.81340000000000001</v>
      </c>
      <c r="E23" s="14">
        <v>0.2414</v>
      </c>
      <c r="F23" s="14">
        <v>0.71679999999999999</v>
      </c>
      <c r="G23" s="14">
        <v>0.2621</v>
      </c>
      <c r="H23" s="14">
        <v>0.60009999999999997</v>
      </c>
      <c r="I23" s="14">
        <v>9.8799999999999999E-2</v>
      </c>
      <c r="J23" s="14">
        <v>0.31069999999999998</v>
      </c>
      <c r="K23" s="14">
        <v>4.7600000000000003E-2</v>
      </c>
      <c r="L23" s="14">
        <v>9.8705999999999996</v>
      </c>
      <c r="M23" s="14">
        <v>2.9693000000000001</v>
      </c>
      <c r="N23" s="14">
        <v>43.15</v>
      </c>
      <c r="O23" s="14">
        <v>29.27</v>
      </c>
      <c r="P23" s="14">
        <v>27.58</v>
      </c>
    </row>
    <row r="24" spans="1:16" ht="16" x14ac:dyDescent="0.2">
      <c r="A24" s="16" t="s">
        <v>24</v>
      </c>
      <c r="B24" s="6" t="s">
        <v>12</v>
      </c>
      <c r="C24" s="7">
        <f t="shared" si="0"/>
        <v>1</v>
      </c>
      <c r="D24" s="14">
        <v>0.3337</v>
      </c>
      <c r="E24" s="14">
        <v>4.9200000000000001E-2</v>
      </c>
      <c r="F24" s="14">
        <v>0.38619999999999999</v>
      </c>
      <c r="G24" s="14">
        <v>7.0699999999999999E-2</v>
      </c>
      <c r="H24" s="14">
        <v>0.8599</v>
      </c>
      <c r="I24" s="14">
        <v>0.13100000000000001</v>
      </c>
      <c r="J24" s="14">
        <v>0.57769999999999999</v>
      </c>
      <c r="K24" s="14">
        <v>0.21049999999999999</v>
      </c>
      <c r="L24" s="14">
        <v>8.4784000000000006</v>
      </c>
      <c r="M24" s="14">
        <v>0.88690000000000002</v>
      </c>
      <c r="N24" s="14">
        <v>91.64</v>
      </c>
      <c r="O24" s="14">
        <v>2.14</v>
      </c>
      <c r="P24" s="14">
        <v>6.23</v>
      </c>
    </row>
    <row r="25" spans="1:16" ht="16" x14ac:dyDescent="0.2">
      <c r="A25" s="16" t="s">
        <v>25</v>
      </c>
      <c r="B25" s="6" t="s">
        <v>12</v>
      </c>
      <c r="C25" s="7">
        <f t="shared" si="0"/>
        <v>1</v>
      </c>
      <c r="D25" s="14">
        <v>0.35360000000000003</v>
      </c>
      <c r="E25" s="14">
        <v>6.2399999999999997E-2</v>
      </c>
      <c r="F25" s="14">
        <v>0.45479999999999998</v>
      </c>
      <c r="G25" s="14">
        <v>9.0200000000000002E-2</v>
      </c>
      <c r="H25" s="14">
        <v>0.61599999999999999</v>
      </c>
      <c r="I25" s="14">
        <v>0.1303</v>
      </c>
      <c r="J25" s="14">
        <v>0.77490000000000003</v>
      </c>
      <c r="K25" s="14">
        <v>0.35049999999999998</v>
      </c>
      <c r="L25" s="14">
        <v>8.9618000000000002</v>
      </c>
      <c r="M25" s="14">
        <v>1.2726</v>
      </c>
      <c r="N25" s="14">
        <v>64.069999999999993</v>
      </c>
      <c r="O25" s="14">
        <v>2.93</v>
      </c>
      <c r="P25" s="14">
        <v>33.01</v>
      </c>
    </row>
    <row r="26" spans="1:16" ht="16" x14ac:dyDescent="0.2">
      <c r="A26" s="16" t="s">
        <v>26</v>
      </c>
      <c r="B26" s="6" t="s">
        <v>14</v>
      </c>
      <c r="C26" s="7">
        <f t="shared" si="0"/>
        <v>0</v>
      </c>
      <c r="D26" s="14">
        <v>0.31440000000000001</v>
      </c>
      <c r="E26" s="14">
        <v>5.5800000000000002E-2</v>
      </c>
      <c r="F26" s="14">
        <v>0.40339999999999998</v>
      </c>
      <c r="G26" s="14">
        <v>8.72E-2</v>
      </c>
      <c r="H26" s="14">
        <v>0.73740000000000006</v>
      </c>
      <c r="I26" s="14">
        <v>0.16209999999999999</v>
      </c>
      <c r="J26" s="14">
        <v>0.53480000000000005</v>
      </c>
      <c r="K26" s="14">
        <v>0.1164</v>
      </c>
      <c r="L26" s="14">
        <v>7.1809000000000003</v>
      </c>
      <c r="M26" s="14">
        <v>1.363</v>
      </c>
      <c r="N26" s="14">
        <v>90.97</v>
      </c>
      <c r="O26" s="14">
        <v>1.24</v>
      </c>
      <c r="P26" s="14">
        <v>7.79</v>
      </c>
    </row>
    <row r="27" spans="1:16" ht="16" x14ac:dyDescent="0.2">
      <c r="A27" s="16" t="s">
        <v>27</v>
      </c>
      <c r="B27" s="6" t="s">
        <v>20</v>
      </c>
      <c r="C27" s="7">
        <f t="shared" si="0"/>
        <v>0</v>
      </c>
      <c r="D27" s="14">
        <v>0.35089999999999999</v>
      </c>
      <c r="E27" s="14">
        <v>5.3400000000000003E-2</v>
      </c>
      <c r="F27" s="14">
        <v>0.3548</v>
      </c>
      <c r="G27" s="14">
        <v>6.3200000000000006E-2</v>
      </c>
      <c r="H27" s="14">
        <v>0.57020000000000004</v>
      </c>
      <c r="I27" s="14">
        <v>9.1300000000000006E-2</v>
      </c>
      <c r="J27" s="14">
        <v>0.28470000000000001</v>
      </c>
      <c r="K27" s="14">
        <v>7.0599999999999996E-2</v>
      </c>
      <c r="L27" s="14">
        <v>12.519299999999999</v>
      </c>
      <c r="M27" s="14">
        <v>0.50690000000000002</v>
      </c>
      <c r="N27" s="14">
        <v>0</v>
      </c>
      <c r="O27" s="14">
        <v>98.23</v>
      </c>
      <c r="P27" s="14">
        <v>1.77</v>
      </c>
    </row>
    <row r="28" spans="1:16" ht="16" x14ac:dyDescent="0.2">
      <c r="A28" s="16" t="s">
        <v>28</v>
      </c>
      <c r="B28" s="6" t="s">
        <v>22</v>
      </c>
      <c r="C28" s="7">
        <f t="shared" si="0"/>
        <v>0</v>
      </c>
      <c r="D28" s="14">
        <v>0.77329999999999999</v>
      </c>
      <c r="E28" s="14">
        <v>0.15379999999999999</v>
      </c>
      <c r="F28" s="14">
        <v>0.43719999999999998</v>
      </c>
      <c r="G28" s="14">
        <v>5.8099999999999999E-2</v>
      </c>
      <c r="H28" s="14">
        <v>0.54620000000000002</v>
      </c>
      <c r="I28" s="14">
        <v>0.1225</v>
      </c>
      <c r="J28" s="14">
        <v>0.57609999999999995</v>
      </c>
      <c r="K28" s="14">
        <v>0.161</v>
      </c>
      <c r="L28" s="14">
        <v>12.6844</v>
      </c>
      <c r="M28" s="14">
        <v>1.6608000000000001</v>
      </c>
      <c r="N28" s="14">
        <v>1.17</v>
      </c>
      <c r="O28" s="14">
        <v>78.61</v>
      </c>
      <c r="P28" s="14">
        <v>20.22</v>
      </c>
    </row>
    <row r="29" spans="1:16" ht="16" x14ac:dyDescent="0.2">
      <c r="A29" s="16" t="s">
        <v>29</v>
      </c>
      <c r="B29" s="6" t="s">
        <v>20</v>
      </c>
      <c r="C29" s="7">
        <f t="shared" si="0"/>
        <v>0</v>
      </c>
      <c r="D29" s="14">
        <v>0.37959999999999999</v>
      </c>
      <c r="E29" s="14">
        <v>7.2499999999999995E-2</v>
      </c>
      <c r="F29" s="14">
        <v>0.4672</v>
      </c>
      <c r="G29" s="14">
        <v>0.1</v>
      </c>
      <c r="H29" s="14">
        <v>1.2219</v>
      </c>
      <c r="I29" s="14">
        <v>0.1729</v>
      </c>
      <c r="J29" s="14">
        <v>0.48249999999999998</v>
      </c>
      <c r="K29" s="14">
        <v>0.1424</v>
      </c>
      <c r="L29" s="14">
        <v>10.4771</v>
      </c>
      <c r="M29" s="14">
        <v>0.99890000000000001</v>
      </c>
      <c r="N29" s="14">
        <v>13.65</v>
      </c>
      <c r="O29" s="14">
        <v>13.87</v>
      </c>
      <c r="P29" s="14">
        <v>72.489999999999995</v>
      </c>
    </row>
    <row r="30" spans="1:16" ht="16" x14ac:dyDescent="0.2">
      <c r="A30" s="16" t="s">
        <v>30</v>
      </c>
      <c r="B30" s="6" t="s">
        <v>14</v>
      </c>
      <c r="C30" s="7">
        <f t="shared" si="0"/>
        <v>0</v>
      </c>
      <c r="D30" s="14">
        <v>0.59670000000000001</v>
      </c>
      <c r="E30" s="14">
        <v>7.0199999999999999E-2</v>
      </c>
      <c r="F30" s="14">
        <v>0.3866</v>
      </c>
      <c r="G30" s="14">
        <v>6.4699999999999994E-2</v>
      </c>
      <c r="H30" s="14">
        <v>0.71399999999999997</v>
      </c>
      <c r="I30" s="14">
        <v>0.14280000000000001</v>
      </c>
      <c r="J30" s="14">
        <v>0.3992</v>
      </c>
      <c r="K30" s="14">
        <v>8.48E-2</v>
      </c>
      <c r="L30" s="14">
        <v>10.2715</v>
      </c>
      <c r="M30" s="14">
        <v>1.5754999999999999</v>
      </c>
      <c r="N30" s="14">
        <v>35.479999999999997</v>
      </c>
      <c r="O30" s="14">
        <v>21.96</v>
      </c>
      <c r="P30" s="14">
        <v>42.56</v>
      </c>
    </row>
    <row r="31" spans="1:16" ht="16" x14ac:dyDescent="0.2">
      <c r="A31" s="16">
        <v>1941</v>
      </c>
      <c r="B31" s="6" t="s">
        <v>22</v>
      </c>
      <c r="C31" s="7">
        <f t="shared" si="0"/>
        <v>0</v>
      </c>
      <c r="D31" s="14">
        <v>0.30470000000000003</v>
      </c>
      <c r="E31" s="14">
        <v>5.0299999999999997E-2</v>
      </c>
      <c r="F31" s="14">
        <v>0.46960000000000002</v>
      </c>
      <c r="G31" s="14">
        <v>0.1074</v>
      </c>
      <c r="H31" s="14">
        <v>0.58099999999999996</v>
      </c>
      <c r="I31" s="14">
        <v>0.1132</v>
      </c>
      <c r="J31" s="14">
        <v>0.56720000000000004</v>
      </c>
      <c r="K31" s="14">
        <v>0.17560000000000001</v>
      </c>
      <c r="L31" s="14">
        <v>13.258800000000001</v>
      </c>
      <c r="M31" s="14">
        <v>0.83599999999999997</v>
      </c>
      <c r="N31" s="14">
        <v>0.01</v>
      </c>
      <c r="O31" s="14">
        <v>96.53</v>
      </c>
      <c r="P31" s="14">
        <v>3.46</v>
      </c>
    </row>
    <row r="32" spans="1:16" ht="16" x14ac:dyDescent="0.2">
      <c r="A32" s="16" t="s">
        <v>31</v>
      </c>
      <c r="B32" s="6" t="s">
        <v>20</v>
      </c>
      <c r="C32" s="7">
        <f t="shared" si="0"/>
        <v>0</v>
      </c>
      <c r="D32" s="14">
        <v>0.52290000000000003</v>
      </c>
      <c r="E32" s="14">
        <v>0.1115</v>
      </c>
      <c r="F32" s="14">
        <v>0.47039999999999998</v>
      </c>
      <c r="G32" s="14">
        <v>0.15820000000000001</v>
      </c>
      <c r="H32" s="14">
        <v>0.61580000000000001</v>
      </c>
      <c r="I32" s="14">
        <v>0.13389999999999999</v>
      </c>
      <c r="J32" s="14">
        <v>0.34420000000000001</v>
      </c>
      <c r="K32" s="14">
        <v>7.7600000000000002E-2</v>
      </c>
      <c r="L32" s="14">
        <v>10.3752</v>
      </c>
      <c r="M32" s="14">
        <v>1.1536</v>
      </c>
      <c r="N32" s="14">
        <v>20.93</v>
      </c>
      <c r="O32" s="14">
        <v>13.2</v>
      </c>
      <c r="P32" s="14">
        <v>65.87</v>
      </c>
    </row>
    <row r="33" spans="1:16" ht="16" x14ac:dyDescent="0.2">
      <c r="A33" s="16">
        <v>1682</v>
      </c>
      <c r="B33" s="6" t="s">
        <v>22</v>
      </c>
      <c r="C33" s="7">
        <f t="shared" si="0"/>
        <v>0</v>
      </c>
      <c r="D33" s="14">
        <v>0.874</v>
      </c>
      <c r="E33" s="14">
        <v>0.36480000000000001</v>
      </c>
      <c r="F33" s="14">
        <v>0.41320000000000001</v>
      </c>
      <c r="G33" s="14">
        <v>0.14610000000000001</v>
      </c>
      <c r="H33" s="14">
        <v>0.71779999999999999</v>
      </c>
      <c r="I33" s="14">
        <v>0.15690000000000001</v>
      </c>
      <c r="J33" s="14">
        <v>0.63380000000000003</v>
      </c>
      <c r="K33" s="14">
        <v>0.18990000000000001</v>
      </c>
      <c r="L33" s="14">
        <v>14.1008</v>
      </c>
      <c r="M33" s="14">
        <v>1.5640000000000001</v>
      </c>
      <c r="N33" s="14">
        <v>0.28000000000000003</v>
      </c>
      <c r="O33" s="14">
        <v>93.91</v>
      </c>
      <c r="P33" s="14">
        <v>5.81</v>
      </c>
    </row>
    <row r="34" spans="1:16" ht="16" x14ac:dyDescent="0.2">
      <c r="A34" s="16">
        <v>1739</v>
      </c>
      <c r="B34" s="6" t="s">
        <v>22</v>
      </c>
      <c r="C34" s="7">
        <f t="shared" si="0"/>
        <v>0</v>
      </c>
      <c r="D34" s="14">
        <v>0.37790000000000001</v>
      </c>
      <c r="E34" s="14">
        <v>7.9299999999999995E-2</v>
      </c>
      <c r="F34" s="14">
        <v>0.33179999999999998</v>
      </c>
      <c r="G34" s="14">
        <v>2.0899999999999998E-2</v>
      </c>
      <c r="H34" s="14">
        <v>0.64559999999999995</v>
      </c>
      <c r="I34" s="14">
        <v>0.1603</v>
      </c>
      <c r="J34" s="14">
        <v>0.5988</v>
      </c>
      <c r="K34" s="14">
        <v>0.1167</v>
      </c>
      <c r="L34" s="14">
        <v>10.250400000000001</v>
      </c>
      <c r="M34" s="14">
        <v>1.0659000000000001</v>
      </c>
      <c r="N34" s="14">
        <v>20.84</v>
      </c>
      <c r="O34" s="14">
        <v>10.35</v>
      </c>
      <c r="P34" s="14">
        <v>68.8</v>
      </c>
    </row>
    <row r="35" spans="1:16" ht="16" x14ac:dyDescent="0.2">
      <c r="A35" s="17">
        <v>3059</v>
      </c>
      <c r="B35" t="s">
        <v>12</v>
      </c>
      <c r="C35" s="7">
        <f t="shared" si="0"/>
        <v>1</v>
      </c>
      <c r="D35">
        <v>0.39600000000000002</v>
      </c>
      <c r="E35">
        <v>8.3299999999999999E-2</v>
      </c>
      <c r="F35">
        <v>0.62060000000000004</v>
      </c>
      <c r="G35">
        <v>0.1452</v>
      </c>
      <c r="H35">
        <v>0.67510000000000003</v>
      </c>
      <c r="I35">
        <v>0.13930000000000001</v>
      </c>
      <c r="J35">
        <v>0.63749999999999996</v>
      </c>
      <c r="K35">
        <v>0.17380000000000001</v>
      </c>
      <c r="L35">
        <v>10.7796</v>
      </c>
      <c r="M35">
        <v>1.077</v>
      </c>
      <c r="N35">
        <v>7.95</v>
      </c>
      <c r="O35">
        <v>21.52</v>
      </c>
      <c r="P35">
        <v>70.53</v>
      </c>
    </row>
    <row r="36" spans="1:16" ht="16" x14ac:dyDescent="0.2">
      <c r="A36" s="17">
        <v>3062</v>
      </c>
      <c r="B36" t="s">
        <v>12</v>
      </c>
      <c r="C36" s="7">
        <f t="shared" si="0"/>
        <v>1</v>
      </c>
      <c r="D36">
        <v>0.35170000000000001</v>
      </c>
      <c r="E36">
        <v>6.7199999999999996E-2</v>
      </c>
      <c r="F36">
        <v>0.49919999999999998</v>
      </c>
      <c r="G36">
        <v>0.1242</v>
      </c>
      <c r="H36">
        <v>0.70299999999999996</v>
      </c>
      <c r="I36">
        <v>0.1699</v>
      </c>
      <c r="J36">
        <v>0.61680000000000001</v>
      </c>
      <c r="K36">
        <v>0.15909999999999999</v>
      </c>
      <c r="L36">
        <v>8.7093000000000007</v>
      </c>
      <c r="M36">
        <v>0.70989999999999998</v>
      </c>
      <c r="N36">
        <v>87.87</v>
      </c>
      <c r="O36">
        <v>0.46</v>
      </c>
      <c r="P36">
        <v>11.67</v>
      </c>
    </row>
    <row r="37" spans="1:16" ht="16" x14ac:dyDescent="0.2">
      <c r="A37" s="17">
        <v>3063</v>
      </c>
      <c r="B37" t="s">
        <v>12</v>
      </c>
      <c r="C37" s="7">
        <f t="shared" si="0"/>
        <v>1</v>
      </c>
      <c r="D37">
        <v>0.35170000000000001</v>
      </c>
      <c r="E37">
        <v>6.7199999999999996E-2</v>
      </c>
      <c r="F37">
        <v>0.49919999999999998</v>
      </c>
      <c r="G37">
        <v>0.1242</v>
      </c>
      <c r="H37">
        <v>0.70299999999999996</v>
      </c>
      <c r="I37">
        <v>0.1699</v>
      </c>
      <c r="J37">
        <v>0.61680000000000001</v>
      </c>
      <c r="K37">
        <v>0.15909999999999999</v>
      </c>
      <c r="L37">
        <v>12.597899999999999</v>
      </c>
      <c r="M37">
        <v>2.2921</v>
      </c>
      <c r="N37">
        <v>6.14</v>
      </c>
      <c r="O37">
        <v>58.17</v>
      </c>
      <c r="P37">
        <v>35.69</v>
      </c>
    </row>
    <row r="38" spans="1:16" ht="16" x14ac:dyDescent="0.2">
      <c r="A38" s="17">
        <v>3066</v>
      </c>
      <c r="B38" t="s">
        <v>12</v>
      </c>
      <c r="C38" s="7">
        <f t="shared" si="0"/>
        <v>1</v>
      </c>
      <c r="D38">
        <v>0.2999</v>
      </c>
      <c r="E38">
        <v>5.0299999999999997E-2</v>
      </c>
      <c r="F38">
        <v>0.46579999999999999</v>
      </c>
      <c r="G38">
        <v>5.6099999999999997E-2</v>
      </c>
      <c r="H38">
        <v>0.86439999999999995</v>
      </c>
      <c r="I38">
        <v>0.13639999999999999</v>
      </c>
      <c r="J38">
        <v>0.47060000000000002</v>
      </c>
      <c r="K38">
        <v>0.1037</v>
      </c>
      <c r="L38">
        <v>10.6745</v>
      </c>
      <c r="M38">
        <v>1.6306</v>
      </c>
      <c r="N38">
        <v>15.2</v>
      </c>
      <c r="O38">
        <v>22.26</v>
      </c>
      <c r="P38">
        <v>62.54</v>
      </c>
    </row>
    <row r="39" spans="1:16" ht="16" x14ac:dyDescent="0.2">
      <c r="A39" s="17">
        <v>3067</v>
      </c>
      <c r="B39" t="s">
        <v>12</v>
      </c>
      <c r="C39" s="7">
        <f t="shared" si="0"/>
        <v>1</v>
      </c>
      <c r="D39">
        <v>0.47499999999999998</v>
      </c>
      <c r="E39">
        <v>0.13289999999999999</v>
      </c>
      <c r="F39">
        <v>0.48720000000000002</v>
      </c>
      <c r="G39">
        <v>6.8400000000000002E-2</v>
      </c>
      <c r="H39">
        <v>0.71299999999999997</v>
      </c>
      <c r="I39">
        <v>0.12959999999999999</v>
      </c>
      <c r="J39">
        <v>0.45350000000000001</v>
      </c>
      <c r="K39">
        <v>0.1004</v>
      </c>
      <c r="L39">
        <v>10.907299999999999</v>
      </c>
      <c r="M39">
        <v>1.5809</v>
      </c>
      <c r="N39">
        <v>19.670000000000002</v>
      </c>
      <c r="O39">
        <v>36.81</v>
      </c>
      <c r="P39">
        <v>43.52</v>
      </c>
    </row>
    <row r="40" spans="1:16" ht="16" x14ac:dyDescent="0.2">
      <c r="A40" s="17">
        <v>3068</v>
      </c>
      <c r="B40" t="s">
        <v>12</v>
      </c>
      <c r="C40" s="7">
        <f t="shared" si="0"/>
        <v>1</v>
      </c>
      <c r="D40">
        <v>0.37540000000000001</v>
      </c>
      <c r="E40">
        <v>8.9300000000000004E-2</v>
      </c>
      <c r="F40">
        <v>0.38279999999999997</v>
      </c>
      <c r="G40">
        <v>0.1045</v>
      </c>
      <c r="H40">
        <v>0.6966</v>
      </c>
      <c r="I40">
        <v>0.1376</v>
      </c>
      <c r="J40">
        <v>0.44779999999999998</v>
      </c>
      <c r="K40">
        <v>0.14680000000000001</v>
      </c>
      <c r="L40">
        <v>10.657999999999999</v>
      </c>
      <c r="M40">
        <v>1.4066000000000001</v>
      </c>
      <c r="N40">
        <v>18.59</v>
      </c>
      <c r="O40">
        <v>22.58</v>
      </c>
      <c r="P40">
        <v>58.83</v>
      </c>
    </row>
    <row r="41" spans="1:16" ht="16" x14ac:dyDescent="0.2">
      <c r="A41" s="17">
        <v>3071</v>
      </c>
      <c r="B41" t="s">
        <v>12</v>
      </c>
      <c r="C41" s="7">
        <f t="shared" si="0"/>
        <v>1</v>
      </c>
      <c r="D41">
        <v>0.34410000000000002</v>
      </c>
      <c r="E41">
        <v>5.8700000000000002E-2</v>
      </c>
      <c r="F41">
        <v>0.50119999999999998</v>
      </c>
      <c r="G41">
        <v>0.1643</v>
      </c>
      <c r="H41">
        <v>0.65190000000000003</v>
      </c>
      <c r="I41">
        <v>0.1053</v>
      </c>
      <c r="J41">
        <v>0.33439999999999998</v>
      </c>
      <c r="K41">
        <v>6.5600000000000006E-2</v>
      </c>
      <c r="L41">
        <v>7.7319000000000004</v>
      </c>
      <c r="M41">
        <v>1.3544</v>
      </c>
      <c r="N41">
        <v>88.53</v>
      </c>
      <c r="O41">
        <v>1.31</v>
      </c>
      <c r="P41">
        <v>10.15</v>
      </c>
    </row>
    <row r="42" spans="1:16" ht="16" x14ac:dyDescent="0.2">
      <c r="A42" s="17">
        <v>3072</v>
      </c>
      <c r="B42" t="s">
        <v>12</v>
      </c>
      <c r="C42" s="7">
        <f t="shared" si="0"/>
        <v>1</v>
      </c>
      <c r="D42">
        <v>0.31809999999999999</v>
      </c>
      <c r="E42">
        <v>5.0999999999999997E-2</v>
      </c>
      <c r="F42">
        <v>0.41120000000000001</v>
      </c>
      <c r="G42">
        <v>8.8599999999999998E-2</v>
      </c>
      <c r="H42">
        <v>0.70550000000000002</v>
      </c>
      <c r="I42">
        <v>0.13930000000000001</v>
      </c>
      <c r="J42">
        <v>0.3654</v>
      </c>
      <c r="K42">
        <v>7.2700000000000001E-2</v>
      </c>
      <c r="L42">
        <v>11.948600000000001</v>
      </c>
      <c r="M42">
        <v>0.90390000000000004</v>
      </c>
      <c r="N42">
        <v>0.8</v>
      </c>
      <c r="O42">
        <v>70.17</v>
      </c>
      <c r="P42">
        <v>29.02</v>
      </c>
    </row>
    <row r="43" spans="1:16" ht="16" x14ac:dyDescent="0.2">
      <c r="A43" s="17">
        <v>3073</v>
      </c>
      <c r="B43" t="s">
        <v>12</v>
      </c>
      <c r="C43" s="7">
        <f t="shared" si="0"/>
        <v>1</v>
      </c>
      <c r="D43">
        <v>0.30309999999999998</v>
      </c>
      <c r="E43">
        <v>5.4600000000000003E-2</v>
      </c>
      <c r="F43">
        <v>0.443</v>
      </c>
      <c r="G43">
        <v>0.11210000000000001</v>
      </c>
      <c r="H43">
        <v>0.68520000000000003</v>
      </c>
      <c r="I43">
        <v>6.8099999999999994E-2</v>
      </c>
      <c r="J43">
        <v>0.37580000000000002</v>
      </c>
      <c r="K43">
        <v>8.3199999999999996E-2</v>
      </c>
      <c r="L43">
        <v>12.077199999999999</v>
      </c>
      <c r="M43">
        <v>1.2109000000000001</v>
      </c>
      <c r="N43">
        <v>2.44</v>
      </c>
      <c r="O43">
        <v>70.38</v>
      </c>
      <c r="P43">
        <v>27.17</v>
      </c>
    </row>
    <row r="44" spans="1:16" ht="16" x14ac:dyDescent="0.2">
      <c r="A44" s="17">
        <v>3075</v>
      </c>
      <c r="B44" t="s">
        <v>12</v>
      </c>
      <c r="C44" s="7">
        <f t="shared" si="0"/>
        <v>1</v>
      </c>
      <c r="D44">
        <v>0.30270000000000002</v>
      </c>
      <c r="E44">
        <v>4.7600000000000003E-2</v>
      </c>
      <c r="F44">
        <v>0.35959999999999998</v>
      </c>
      <c r="G44">
        <v>7.1499999999999994E-2</v>
      </c>
      <c r="H44">
        <v>1.3298000000000001</v>
      </c>
      <c r="I44">
        <v>0.10979999999999999</v>
      </c>
      <c r="J44">
        <v>0.52839999999999998</v>
      </c>
      <c r="K44">
        <v>0.1434</v>
      </c>
      <c r="L44">
        <v>9.6016999999999992</v>
      </c>
      <c r="M44">
        <v>1.0388999999999999</v>
      </c>
      <c r="N44">
        <v>46.53</v>
      </c>
      <c r="O44">
        <v>2.89</v>
      </c>
      <c r="P44">
        <v>50.58</v>
      </c>
    </row>
    <row r="45" spans="1:16" ht="16" x14ac:dyDescent="0.2">
      <c r="A45" s="17">
        <v>3076</v>
      </c>
      <c r="B45" t="s">
        <v>12</v>
      </c>
      <c r="C45" s="7">
        <f t="shared" si="0"/>
        <v>1</v>
      </c>
      <c r="D45">
        <v>0.33589999999999998</v>
      </c>
      <c r="E45">
        <v>6.4100000000000004E-2</v>
      </c>
      <c r="F45">
        <v>0.46600000000000003</v>
      </c>
      <c r="G45">
        <v>0.12759999999999999</v>
      </c>
      <c r="H45">
        <v>0.70199999999999996</v>
      </c>
      <c r="I45">
        <v>0.114</v>
      </c>
      <c r="J45">
        <v>0.46479999999999999</v>
      </c>
      <c r="K45">
        <v>0.1113</v>
      </c>
      <c r="L45">
        <v>11.154299999999999</v>
      </c>
      <c r="M45">
        <v>1.1366000000000001</v>
      </c>
      <c r="N45">
        <v>7.71</v>
      </c>
      <c r="O45">
        <v>41.37</v>
      </c>
      <c r="P45">
        <v>50.92</v>
      </c>
    </row>
    <row r="46" spans="1:16" ht="16" x14ac:dyDescent="0.2">
      <c r="A46" s="17">
        <v>3077</v>
      </c>
      <c r="B46" t="s">
        <v>12</v>
      </c>
      <c r="C46" s="7">
        <f t="shared" si="0"/>
        <v>1</v>
      </c>
      <c r="D46">
        <v>0.30530000000000002</v>
      </c>
      <c r="E46">
        <v>3.8399999999999997E-2</v>
      </c>
      <c r="F46">
        <v>0.47699999999999998</v>
      </c>
      <c r="G46">
        <v>0.1036</v>
      </c>
      <c r="H46">
        <v>0.77959999999999996</v>
      </c>
      <c r="I46">
        <v>0.21029999999999999</v>
      </c>
      <c r="J46">
        <v>0.48120000000000002</v>
      </c>
      <c r="K46">
        <v>0.1426</v>
      </c>
      <c r="L46">
        <v>9.0709</v>
      </c>
      <c r="M46">
        <v>0.82630000000000003</v>
      </c>
      <c r="N46">
        <v>73.33</v>
      </c>
      <c r="O46">
        <v>0.68</v>
      </c>
      <c r="P46">
        <v>25.99</v>
      </c>
    </row>
    <row r="47" spans="1:16" ht="16" x14ac:dyDescent="0.2">
      <c r="A47" s="17">
        <v>3078</v>
      </c>
      <c r="B47" t="s">
        <v>12</v>
      </c>
      <c r="C47" s="7">
        <f t="shared" si="0"/>
        <v>1</v>
      </c>
      <c r="D47">
        <v>0.32540000000000002</v>
      </c>
      <c r="E47">
        <v>6.4399999999999999E-2</v>
      </c>
      <c r="F47">
        <v>0.3412</v>
      </c>
      <c r="G47">
        <v>6.5100000000000005E-2</v>
      </c>
      <c r="H47">
        <v>0.54349999999999998</v>
      </c>
      <c r="I47">
        <v>8.2699999999999996E-2</v>
      </c>
      <c r="J47">
        <v>0.31519999999999998</v>
      </c>
      <c r="K47">
        <v>5.4800000000000001E-2</v>
      </c>
      <c r="L47">
        <v>10.3232</v>
      </c>
      <c r="M47">
        <v>0.86199999999999999</v>
      </c>
      <c r="N47">
        <v>15.83</v>
      </c>
      <c r="O47">
        <v>10.119999999999999</v>
      </c>
      <c r="P47">
        <v>74.040000000000006</v>
      </c>
    </row>
    <row r="48" spans="1:16" ht="16" x14ac:dyDescent="0.2">
      <c r="A48" s="17">
        <v>3079</v>
      </c>
      <c r="B48" t="s">
        <v>12</v>
      </c>
      <c r="C48" s="7">
        <f t="shared" si="0"/>
        <v>1</v>
      </c>
      <c r="D48">
        <v>0.35070000000000001</v>
      </c>
      <c r="E48">
        <v>6.0299999999999999E-2</v>
      </c>
      <c r="F48">
        <v>0.78180000000000005</v>
      </c>
      <c r="G48">
        <v>0.32819999999999999</v>
      </c>
      <c r="H48">
        <v>0.65080000000000005</v>
      </c>
      <c r="I48">
        <v>0.12089999999999999</v>
      </c>
      <c r="J48">
        <v>0.51700000000000002</v>
      </c>
      <c r="K48">
        <v>0.10589999999999999</v>
      </c>
      <c r="L48">
        <v>10.8583</v>
      </c>
      <c r="M48">
        <v>0.81789999999999996</v>
      </c>
      <c r="N48">
        <v>5.26</v>
      </c>
      <c r="O48">
        <v>17.079999999999998</v>
      </c>
      <c r="P48">
        <v>77.66</v>
      </c>
    </row>
    <row r="49" spans="1:17" ht="16" x14ac:dyDescent="0.2">
      <c r="A49" s="17">
        <v>3080</v>
      </c>
      <c r="B49" t="s">
        <v>12</v>
      </c>
      <c r="C49" s="7">
        <f t="shared" si="0"/>
        <v>1</v>
      </c>
      <c r="D49">
        <v>0.37</v>
      </c>
      <c r="E49">
        <v>6.2600000000000003E-2</v>
      </c>
      <c r="F49">
        <v>0.65639999999999998</v>
      </c>
      <c r="G49">
        <v>0.28439999999999999</v>
      </c>
      <c r="H49">
        <v>0.66720000000000002</v>
      </c>
      <c r="I49">
        <v>0.15029999999999999</v>
      </c>
      <c r="J49">
        <v>0.57430000000000003</v>
      </c>
      <c r="K49">
        <v>0.15759999999999999</v>
      </c>
      <c r="L49">
        <v>10.795999999999999</v>
      </c>
      <c r="M49">
        <v>1.5764</v>
      </c>
      <c r="N49">
        <v>23.59</v>
      </c>
      <c r="O49">
        <v>35.28</v>
      </c>
      <c r="P49">
        <v>41.14</v>
      </c>
    </row>
    <row r="50" spans="1:17" ht="16" x14ac:dyDescent="0.2">
      <c r="A50" s="17">
        <v>3085</v>
      </c>
      <c r="B50" t="s">
        <v>12</v>
      </c>
      <c r="C50" s="7">
        <f t="shared" si="0"/>
        <v>1</v>
      </c>
      <c r="D50">
        <v>0.2959</v>
      </c>
      <c r="E50">
        <v>3.6799999999999999E-2</v>
      </c>
      <c r="F50">
        <v>0.31680000000000003</v>
      </c>
      <c r="G50">
        <v>9.0499999999999997E-2</v>
      </c>
      <c r="H50">
        <v>0.63400000000000001</v>
      </c>
      <c r="I50">
        <v>0.12479999999999999</v>
      </c>
      <c r="J50">
        <v>0.41249999999999998</v>
      </c>
      <c r="K50">
        <v>0.1128</v>
      </c>
      <c r="L50">
        <v>9.1516000000000002</v>
      </c>
      <c r="M50">
        <v>0.92430000000000001</v>
      </c>
      <c r="N50">
        <v>76.12</v>
      </c>
      <c r="O50">
        <v>3.67</v>
      </c>
      <c r="P50">
        <v>20.2</v>
      </c>
    </row>
    <row r="51" spans="1:17" ht="16" x14ac:dyDescent="0.2">
      <c r="A51" s="17">
        <v>3086</v>
      </c>
      <c r="B51" t="s">
        <v>12</v>
      </c>
      <c r="C51" s="7">
        <f t="shared" si="0"/>
        <v>1</v>
      </c>
      <c r="D51">
        <v>0.2747</v>
      </c>
      <c r="E51">
        <v>4.99E-2</v>
      </c>
      <c r="F51">
        <v>0.307</v>
      </c>
      <c r="G51">
        <v>6.6600000000000006E-2</v>
      </c>
      <c r="H51">
        <v>0.50509999999999999</v>
      </c>
      <c r="I51">
        <v>0.1066</v>
      </c>
      <c r="J51">
        <v>0.54920000000000002</v>
      </c>
      <c r="K51">
        <v>0.1225</v>
      </c>
      <c r="L51">
        <v>7.5324</v>
      </c>
      <c r="M51">
        <v>0.91210000000000002</v>
      </c>
      <c r="N51">
        <v>99.39</v>
      </c>
      <c r="O51">
        <v>0</v>
      </c>
      <c r="P51">
        <v>0.61</v>
      </c>
    </row>
    <row r="52" spans="1:17" ht="16" x14ac:dyDescent="0.2">
      <c r="A52" s="17">
        <v>3087</v>
      </c>
      <c r="B52" t="s">
        <v>12</v>
      </c>
      <c r="C52" s="7">
        <f t="shared" si="0"/>
        <v>1</v>
      </c>
      <c r="D52">
        <v>0.39340000000000003</v>
      </c>
      <c r="E52">
        <v>8.2100000000000006E-2</v>
      </c>
      <c r="F52">
        <v>0.50700000000000001</v>
      </c>
      <c r="G52">
        <v>5.2400000000000002E-2</v>
      </c>
      <c r="H52">
        <v>0.5131</v>
      </c>
      <c r="I52">
        <v>9.2899999999999996E-2</v>
      </c>
      <c r="J52">
        <v>0.57140000000000002</v>
      </c>
      <c r="K52">
        <v>0.1169</v>
      </c>
      <c r="L52">
        <v>11.4284</v>
      </c>
      <c r="M52">
        <v>1.6439999999999999</v>
      </c>
      <c r="N52">
        <v>12.79</v>
      </c>
      <c r="O52">
        <v>53.75</v>
      </c>
      <c r="P52">
        <v>33.46</v>
      </c>
    </row>
    <row r="53" spans="1:17" ht="16" x14ac:dyDescent="0.2">
      <c r="A53" s="17">
        <v>3088</v>
      </c>
      <c r="B53" t="s">
        <v>12</v>
      </c>
      <c r="C53" s="7">
        <f t="shared" si="0"/>
        <v>1</v>
      </c>
      <c r="D53">
        <v>0.33629999999999999</v>
      </c>
      <c r="E53">
        <v>4.4400000000000002E-2</v>
      </c>
      <c r="F53">
        <v>0.39939999999999998</v>
      </c>
      <c r="G53">
        <v>4.8500000000000001E-2</v>
      </c>
      <c r="H53">
        <v>0.72399999999999998</v>
      </c>
      <c r="I53">
        <v>0.17130000000000001</v>
      </c>
      <c r="J53">
        <v>0.60440000000000005</v>
      </c>
      <c r="K53">
        <v>0.16209999999999999</v>
      </c>
      <c r="L53">
        <v>10.458500000000001</v>
      </c>
      <c r="M53">
        <v>1.8766</v>
      </c>
      <c r="N53">
        <v>39.61</v>
      </c>
      <c r="O53">
        <v>35.630000000000003</v>
      </c>
      <c r="P53">
        <v>24.76</v>
      </c>
    </row>
    <row r="54" spans="1:17" ht="16" x14ac:dyDescent="0.2">
      <c r="A54" s="17">
        <v>3091</v>
      </c>
      <c r="B54" t="s">
        <v>12</v>
      </c>
      <c r="C54" s="7">
        <f t="shared" si="0"/>
        <v>1</v>
      </c>
      <c r="D54">
        <v>0.32490000000000002</v>
      </c>
      <c r="E54">
        <v>5.8099999999999999E-2</v>
      </c>
      <c r="F54">
        <v>0.3362</v>
      </c>
      <c r="G54">
        <v>4.3900000000000002E-2</v>
      </c>
      <c r="H54">
        <v>0.85799999999999998</v>
      </c>
      <c r="I54">
        <v>0.15890000000000001</v>
      </c>
      <c r="J54">
        <v>0.48880000000000001</v>
      </c>
      <c r="K54">
        <v>0.1244</v>
      </c>
      <c r="L54">
        <v>12.402799999999999</v>
      </c>
      <c r="M54">
        <v>1.8791</v>
      </c>
      <c r="N54">
        <v>5.83</v>
      </c>
      <c r="O54">
        <v>64.56</v>
      </c>
      <c r="P54">
        <v>29.61</v>
      </c>
    </row>
    <row r="55" spans="1:17" ht="16" x14ac:dyDescent="0.2">
      <c r="A55" s="17">
        <v>3099</v>
      </c>
      <c r="B55" t="s">
        <v>12</v>
      </c>
      <c r="C55" s="7">
        <f t="shared" si="0"/>
        <v>1</v>
      </c>
      <c r="D55">
        <v>0.37630000000000002</v>
      </c>
      <c r="E55">
        <v>8.6400000000000005E-2</v>
      </c>
      <c r="F55">
        <v>0.31900000000000001</v>
      </c>
      <c r="G55">
        <v>7.8799999999999995E-2</v>
      </c>
      <c r="H55">
        <v>0.89849999999999997</v>
      </c>
      <c r="I55">
        <v>0.13159999999999999</v>
      </c>
      <c r="J55">
        <v>0.73899999999999999</v>
      </c>
      <c r="K55">
        <v>0.22670000000000001</v>
      </c>
      <c r="L55">
        <v>11.3621</v>
      </c>
      <c r="M55">
        <v>0.93049999999999999</v>
      </c>
      <c r="N55">
        <v>3.58</v>
      </c>
      <c r="O55">
        <v>46.88</v>
      </c>
      <c r="P55">
        <v>49.54</v>
      </c>
    </row>
    <row r="56" spans="1:17" ht="16" x14ac:dyDescent="0.2">
      <c r="A56" s="17">
        <v>3100</v>
      </c>
      <c r="B56" t="s">
        <v>12</v>
      </c>
      <c r="C56" s="7">
        <f t="shared" si="0"/>
        <v>1</v>
      </c>
      <c r="D56">
        <v>0.57340000000000002</v>
      </c>
      <c r="E56">
        <v>0.1807</v>
      </c>
      <c r="F56">
        <v>0.56559999999999999</v>
      </c>
      <c r="G56">
        <v>0.15040000000000001</v>
      </c>
      <c r="H56">
        <v>0.77769999999999995</v>
      </c>
      <c r="I56">
        <v>0.12820000000000001</v>
      </c>
      <c r="J56">
        <v>0.55649999999999999</v>
      </c>
      <c r="K56">
        <v>0.20369999999999999</v>
      </c>
      <c r="L56">
        <v>12.2011</v>
      </c>
      <c r="M56">
        <v>1.5143</v>
      </c>
      <c r="N56">
        <v>0.66</v>
      </c>
      <c r="O56">
        <v>62.95</v>
      </c>
      <c r="P56">
        <v>36.39</v>
      </c>
    </row>
    <row r="57" spans="1:17" ht="16" x14ac:dyDescent="0.2">
      <c r="A57" s="17">
        <v>3101</v>
      </c>
      <c r="B57" t="s">
        <v>12</v>
      </c>
      <c r="C57" s="7">
        <f t="shared" si="0"/>
        <v>1</v>
      </c>
      <c r="D57">
        <v>0.33129999999999998</v>
      </c>
      <c r="E57">
        <v>6.6000000000000003E-2</v>
      </c>
      <c r="F57">
        <v>0.37919999999999998</v>
      </c>
      <c r="G57">
        <v>7.4700000000000003E-2</v>
      </c>
      <c r="H57">
        <v>0.73099999999999998</v>
      </c>
      <c r="I57">
        <v>0.13400000000000001</v>
      </c>
      <c r="J57">
        <v>0.40660000000000002</v>
      </c>
      <c r="K57">
        <v>9.6699999999999994E-2</v>
      </c>
      <c r="L57">
        <v>10.809200000000001</v>
      </c>
      <c r="M57">
        <v>1.3731</v>
      </c>
      <c r="N57">
        <v>12.85</v>
      </c>
      <c r="O57">
        <v>31.17</v>
      </c>
      <c r="P57">
        <v>55.98</v>
      </c>
    </row>
    <row r="58" spans="1:17" ht="16" x14ac:dyDescent="0.2">
      <c r="A58" s="17">
        <v>3103</v>
      </c>
      <c r="B58" t="s">
        <v>12</v>
      </c>
      <c r="C58" s="7">
        <f t="shared" si="0"/>
        <v>1</v>
      </c>
      <c r="D58">
        <v>0.30470000000000003</v>
      </c>
      <c r="E58">
        <v>5.3800000000000001E-2</v>
      </c>
      <c r="F58">
        <v>0.37380000000000002</v>
      </c>
      <c r="G58">
        <v>6.9099999999999995E-2</v>
      </c>
      <c r="H58">
        <v>0.74970000000000003</v>
      </c>
      <c r="I58">
        <v>0.14050000000000001</v>
      </c>
      <c r="J58">
        <v>0.4239</v>
      </c>
      <c r="K58">
        <v>0.10340000000000001</v>
      </c>
      <c r="L58">
        <v>8.5986999999999991</v>
      </c>
      <c r="M58">
        <v>1.2148000000000001</v>
      </c>
      <c r="N58">
        <v>78.62</v>
      </c>
      <c r="O58">
        <v>1.27</v>
      </c>
      <c r="P58">
        <v>20.11</v>
      </c>
    </row>
    <row r="59" spans="1:17" ht="16" x14ac:dyDescent="0.2">
      <c r="A59" s="17">
        <v>3104</v>
      </c>
      <c r="B59" t="s">
        <v>12</v>
      </c>
      <c r="C59" s="7">
        <f t="shared" si="0"/>
        <v>1</v>
      </c>
      <c r="D59">
        <v>0.31009999999999999</v>
      </c>
      <c r="E59">
        <v>4.5400000000000003E-2</v>
      </c>
      <c r="F59">
        <v>0.52139999999999997</v>
      </c>
      <c r="G59">
        <v>0.22689999999999999</v>
      </c>
      <c r="H59">
        <v>0.83799999999999997</v>
      </c>
      <c r="I59">
        <v>0.14610000000000001</v>
      </c>
      <c r="J59">
        <v>0.47410000000000002</v>
      </c>
      <c r="K59">
        <v>0.1255</v>
      </c>
      <c r="L59">
        <v>9.7111999999999998</v>
      </c>
      <c r="M59">
        <v>1.5689</v>
      </c>
      <c r="N59">
        <v>45.33</v>
      </c>
      <c r="O59">
        <v>12.35</v>
      </c>
      <c r="P59">
        <v>42.32</v>
      </c>
    </row>
    <row r="60" spans="1:17" ht="16" x14ac:dyDescent="0.2">
      <c r="A60" s="17">
        <v>3108</v>
      </c>
      <c r="B60" t="s">
        <v>12</v>
      </c>
      <c r="C60" s="7">
        <f t="shared" si="0"/>
        <v>1</v>
      </c>
      <c r="D60">
        <v>0.31059999999999999</v>
      </c>
      <c r="E60">
        <v>5.2499999999999998E-2</v>
      </c>
      <c r="F60">
        <v>0.62360000000000004</v>
      </c>
      <c r="G60">
        <v>0.10780000000000001</v>
      </c>
      <c r="H60">
        <v>0.79</v>
      </c>
      <c r="I60">
        <v>0.1313</v>
      </c>
      <c r="J60">
        <v>0.44340000000000002</v>
      </c>
      <c r="K60">
        <v>9.6799999999999997E-2</v>
      </c>
      <c r="L60">
        <v>11.283899999999999</v>
      </c>
      <c r="M60">
        <v>1.2685</v>
      </c>
      <c r="N60">
        <v>9.16</v>
      </c>
      <c r="O60">
        <v>47</v>
      </c>
      <c r="P60">
        <v>43.84</v>
      </c>
    </row>
    <row r="61" spans="1:17" ht="16" x14ac:dyDescent="0.2">
      <c r="A61" s="18" t="s">
        <v>38</v>
      </c>
      <c r="B61" s="9" t="s">
        <v>14</v>
      </c>
      <c r="C61" s="9">
        <f t="shared" si="0"/>
        <v>0</v>
      </c>
      <c r="D61">
        <v>0.54700000000000004</v>
      </c>
      <c r="E61">
        <v>0.1822</v>
      </c>
      <c r="F61">
        <v>0.50419999999999998</v>
      </c>
      <c r="G61">
        <v>6.0400000000000002E-2</v>
      </c>
      <c r="H61">
        <v>0.58340000000000003</v>
      </c>
      <c r="I61">
        <v>0.1042</v>
      </c>
      <c r="J61">
        <v>0.42080000000000001</v>
      </c>
      <c r="K61">
        <v>0.1201</v>
      </c>
      <c r="L61">
        <v>15.3277</v>
      </c>
      <c r="M61">
        <v>1.9614</v>
      </c>
      <c r="N61">
        <v>1.55</v>
      </c>
      <c r="O61">
        <v>95.53</v>
      </c>
      <c r="P61">
        <v>2.92</v>
      </c>
      <c r="Q61"/>
    </row>
    <row r="62" spans="1:17" ht="16" x14ac:dyDescent="0.2">
      <c r="A62" s="18" t="s">
        <v>39</v>
      </c>
      <c r="B62" s="9" t="s">
        <v>14</v>
      </c>
      <c r="C62" s="9">
        <f t="shared" si="0"/>
        <v>0</v>
      </c>
      <c r="D62">
        <v>0.41489999999999999</v>
      </c>
      <c r="E62">
        <v>7.8100000000000003E-2</v>
      </c>
      <c r="F62">
        <v>0.44319999999999998</v>
      </c>
      <c r="G62">
        <v>0.1023</v>
      </c>
      <c r="H62">
        <v>0.64549999999999996</v>
      </c>
      <c r="I62">
        <v>0.14169999999999999</v>
      </c>
      <c r="J62">
        <v>0.71419999999999995</v>
      </c>
      <c r="K62">
        <v>0.1895</v>
      </c>
      <c r="L62">
        <v>10.764799999999999</v>
      </c>
      <c r="M62">
        <v>1.9226000000000001</v>
      </c>
      <c r="N62">
        <v>21.01</v>
      </c>
      <c r="O62">
        <v>30.47</v>
      </c>
      <c r="P62">
        <v>48.52</v>
      </c>
      <c r="Q62"/>
    </row>
    <row r="63" spans="1:17" ht="16" x14ac:dyDescent="0.2">
      <c r="A63" s="17" t="s">
        <v>40</v>
      </c>
      <c r="B63" s="9" t="s">
        <v>14</v>
      </c>
      <c r="C63" s="9">
        <f t="shared" si="0"/>
        <v>0</v>
      </c>
      <c r="D63">
        <v>0.31269999999999998</v>
      </c>
      <c r="E63">
        <v>4.8099999999999997E-2</v>
      </c>
      <c r="F63">
        <v>0.40079999999999999</v>
      </c>
      <c r="G63">
        <v>0.13719999999999999</v>
      </c>
      <c r="H63">
        <v>0.59179999999999999</v>
      </c>
      <c r="I63">
        <v>0.1193</v>
      </c>
      <c r="J63">
        <v>0.57869999999999999</v>
      </c>
      <c r="K63">
        <v>0.24410000000000001</v>
      </c>
      <c r="L63">
        <v>8.4352999999999998</v>
      </c>
      <c r="M63">
        <v>1.2276</v>
      </c>
      <c r="N63">
        <v>80.760000000000005</v>
      </c>
      <c r="O63">
        <v>0.46</v>
      </c>
      <c r="P63">
        <v>18.78</v>
      </c>
    </row>
    <row r="64" spans="1:17" ht="16" x14ac:dyDescent="0.2">
      <c r="A64" s="17" t="s">
        <v>41</v>
      </c>
      <c r="B64" s="9" t="s">
        <v>14</v>
      </c>
      <c r="C64" s="9">
        <f t="shared" si="0"/>
        <v>0</v>
      </c>
      <c r="D64">
        <v>0.52529999999999999</v>
      </c>
      <c r="E64">
        <v>0.10249999999999999</v>
      </c>
      <c r="F64">
        <v>0.39700000000000002</v>
      </c>
      <c r="G64">
        <v>0.11459999999999999</v>
      </c>
      <c r="H64">
        <v>0.63260000000000005</v>
      </c>
      <c r="I64">
        <v>0.11600000000000001</v>
      </c>
      <c r="J64">
        <v>0.33910000000000001</v>
      </c>
      <c r="K64">
        <v>8.6699999999999999E-2</v>
      </c>
      <c r="L64">
        <v>10.555999999999999</v>
      </c>
      <c r="M64">
        <v>1.6046</v>
      </c>
      <c r="N64">
        <v>16.02</v>
      </c>
      <c r="O64">
        <v>25.96</v>
      </c>
      <c r="P64">
        <v>58.02</v>
      </c>
    </row>
    <row r="65" spans="1:1" x14ac:dyDescent="0.2">
      <c r="A65" s="18"/>
    </row>
    <row r="66" spans="1:1" x14ac:dyDescent="0.2">
      <c r="A66" s="18"/>
    </row>
    <row r="67" spans="1:1" x14ac:dyDescent="0.2">
      <c r="A67" s="18"/>
    </row>
    <row r="68" spans="1:1" x14ac:dyDescent="0.2">
      <c r="A68" s="18"/>
    </row>
    <row r="69" spans="1:1" x14ac:dyDescent="0.2">
      <c r="A69" s="18"/>
    </row>
    <row r="70" spans="1:1" x14ac:dyDescent="0.2">
      <c r="A70" s="18"/>
    </row>
    <row r="71" spans="1:1" x14ac:dyDescent="0.2">
      <c r="A71" s="18"/>
    </row>
    <row r="72" spans="1:1" x14ac:dyDescent="0.2">
      <c r="A72" s="18"/>
    </row>
    <row r="73" spans="1:1" x14ac:dyDescent="0.2">
      <c r="A73" s="18"/>
    </row>
    <row r="74" spans="1:1" x14ac:dyDescent="0.2">
      <c r="A74" s="18"/>
    </row>
    <row r="75" spans="1:1" x14ac:dyDescent="0.2">
      <c r="A75" s="18"/>
    </row>
    <row r="76" spans="1:1" x14ac:dyDescent="0.2">
      <c r="A76" s="18"/>
    </row>
    <row r="77" spans="1:1" x14ac:dyDescent="0.2">
      <c r="A77" s="18"/>
    </row>
    <row r="78" spans="1:1" x14ac:dyDescent="0.2">
      <c r="A78" s="18"/>
    </row>
    <row r="79" spans="1:1" x14ac:dyDescent="0.2">
      <c r="A79" s="18"/>
    </row>
    <row r="80" spans="1:1" x14ac:dyDescent="0.2">
      <c r="A80" s="18"/>
    </row>
    <row r="81" spans="1:1" x14ac:dyDescent="0.2">
      <c r="A81" s="18"/>
    </row>
    <row r="82" spans="1:1" x14ac:dyDescent="0.2">
      <c r="A82" s="18"/>
    </row>
    <row r="83" spans="1:1" x14ac:dyDescent="0.2">
      <c r="A83" s="18"/>
    </row>
    <row r="84" spans="1:1" x14ac:dyDescent="0.2">
      <c r="A84" s="18"/>
    </row>
    <row r="85" spans="1:1" x14ac:dyDescent="0.2">
      <c r="A85" s="18"/>
    </row>
  </sheetData>
  <autoFilter ref="A1:P34" xr:uid="{5E67669D-DCA0-184E-97A6-09176FE4B22E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BA85-965B-6440-A501-864EAA87A82C}">
  <dimension ref="A1:I64"/>
  <sheetViews>
    <sheetView tabSelected="1" topLeftCell="A35" workbookViewId="0">
      <selection activeCell="G63" sqref="G63:I64"/>
    </sheetView>
  </sheetViews>
  <sheetFormatPr baseColWidth="10" defaultRowHeight="16" x14ac:dyDescent="0.2"/>
  <cols>
    <col min="4" max="4" width="13.83203125" bestFit="1" customWidth="1"/>
    <col min="5" max="5" width="14.6640625" bestFit="1" customWidth="1"/>
    <col min="6" max="6" width="17.33203125" bestFit="1" customWidth="1"/>
    <col min="7" max="7" width="15.5" bestFit="1" customWidth="1"/>
    <col min="8" max="8" width="15.1640625" bestFit="1" customWidth="1"/>
    <col min="9" max="9" width="13.33203125" bestFit="1" customWidth="1"/>
  </cols>
  <sheetData>
    <row r="1" spans="1:9" x14ac:dyDescent="0.2">
      <c r="A1" s="10" t="s">
        <v>32</v>
      </c>
      <c r="B1" s="3" t="s">
        <v>0</v>
      </c>
      <c r="C1" s="3" t="s">
        <v>11</v>
      </c>
      <c r="D1" s="3" t="s">
        <v>3</v>
      </c>
      <c r="E1" s="3" t="s">
        <v>5</v>
      </c>
      <c r="F1" s="12" t="s">
        <v>33</v>
      </c>
      <c r="G1" s="12" t="s">
        <v>35</v>
      </c>
      <c r="H1" s="12" t="s">
        <v>36</v>
      </c>
      <c r="I1" s="12" t="s">
        <v>37</v>
      </c>
    </row>
    <row r="2" spans="1:9" x14ac:dyDescent="0.2">
      <c r="A2" s="15">
        <v>16</v>
      </c>
      <c r="B2" s="7" t="s">
        <v>1</v>
      </c>
      <c r="C2" s="7">
        <f>IF(B2="Binder", 1,0)</f>
        <v>1</v>
      </c>
      <c r="D2" s="7">
        <v>0.31030000000000002</v>
      </c>
      <c r="E2" s="7">
        <v>0.34320000000000001</v>
      </c>
      <c r="F2" s="13">
        <v>10.494300000000001</v>
      </c>
      <c r="G2" s="13">
        <v>21.27</v>
      </c>
      <c r="H2" s="13">
        <v>25.86</v>
      </c>
      <c r="I2" s="13">
        <v>52.87</v>
      </c>
    </row>
    <row r="3" spans="1:9" x14ac:dyDescent="0.2">
      <c r="A3" s="15">
        <v>14</v>
      </c>
      <c r="B3" s="7" t="s">
        <v>1</v>
      </c>
      <c r="C3" s="7">
        <f t="shared" ref="C3:C64" si="0">IF(B3="Binder", 1,0)</f>
        <v>1</v>
      </c>
      <c r="D3" s="7">
        <v>0.28110000000000002</v>
      </c>
      <c r="E3" s="7">
        <v>0.2676</v>
      </c>
      <c r="F3" s="13">
        <v>8.2758000000000003</v>
      </c>
      <c r="G3" s="13">
        <v>97.72</v>
      </c>
      <c r="H3" s="13">
        <v>0.06</v>
      </c>
      <c r="I3" s="13">
        <v>2.23</v>
      </c>
    </row>
    <row r="4" spans="1:9" x14ac:dyDescent="0.2">
      <c r="A4" s="15">
        <v>10</v>
      </c>
      <c r="B4" s="7" t="s">
        <v>1</v>
      </c>
      <c r="C4" s="7">
        <f t="shared" si="0"/>
        <v>1</v>
      </c>
      <c r="D4" s="7">
        <v>0.28610000000000002</v>
      </c>
      <c r="E4" s="7">
        <v>0.31740000000000002</v>
      </c>
      <c r="F4" s="13">
        <v>9.9240999999999993</v>
      </c>
      <c r="G4" s="13">
        <v>17.88</v>
      </c>
      <c r="H4" s="13">
        <v>0.84</v>
      </c>
      <c r="I4" s="13">
        <v>81.28</v>
      </c>
    </row>
    <row r="5" spans="1:9" x14ac:dyDescent="0.2">
      <c r="A5" s="15">
        <v>17</v>
      </c>
      <c r="B5" s="7" t="s">
        <v>1</v>
      </c>
      <c r="C5" s="7">
        <f t="shared" si="0"/>
        <v>1</v>
      </c>
      <c r="D5" s="7">
        <v>0.29110000000000003</v>
      </c>
      <c r="E5" s="7">
        <v>0.3216</v>
      </c>
      <c r="F5" s="13">
        <v>8.5521999999999991</v>
      </c>
      <c r="G5" s="13">
        <v>89.79</v>
      </c>
      <c r="H5" s="13">
        <v>0.42</v>
      </c>
      <c r="I5" s="13">
        <v>9.7899999999999991</v>
      </c>
    </row>
    <row r="6" spans="1:9" x14ac:dyDescent="0.2">
      <c r="A6" s="15">
        <v>39</v>
      </c>
      <c r="B6" s="7" t="s">
        <v>1</v>
      </c>
      <c r="C6" s="7">
        <f t="shared" si="0"/>
        <v>1</v>
      </c>
      <c r="D6" s="7">
        <v>0.36609999999999998</v>
      </c>
      <c r="E6" s="7">
        <v>0.55920000000000003</v>
      </c>
      <c r="F6" s="13">
        <v>9.4564000000000004</v>
      </c>
      <c r="G6" s="13">
        <v>41.79</v>
      </c>
      <c r="H6" s="13">
        <v>6.79</v>
      </c>
      <c r="I6" s="13">
        <v>51.42</v>
      </c>
    </row>
    <row r="7" spans="1:9" x14ac:dyDescent="0.2">
      <c r="A7" s="15">
        <v>42</v>
      </c>
      <c r="B7" s="7" t="s">
        <v>1</v>
      </c>
      <c r="C7" s="7">
        <f t="shared" si="0"/>
        <v>1</v>
      </c>
      <c r="D7" s="7">
        <v>0.30499999999999999</v>
      </c>
      <c r="E7" s="7">
        <v>0.79800000000000004</v>
      </c>
      <c r="F7" s="13">
        <v>11.260999999999999</v>
      </c>
      <c r="G7" s="13">
        <v>10.29</v>
      </c>
      <c r="H7" s="13">
        <v>46.83</v>
      </c>
      <c r="I7" s="13">
        <v>42.88</v>
      </c>
    </row>
    <row r="8" spans="1:9" x14ac:dyDescent="0.2">
      <c r="A8" s="15">
        <v>1</v>
      </c>
      <c r="B8" s="7" t="s">
        <v>2</v>
      </c>
      <c r="C8" s="7">
        <f t="shared" si="0"/>
        <v>0</v>
      </c>
      <c r="D8" s="7">
        <v>0.6089</v>
      </c>
      <c r="E8" s="7">
        <v>0.42280000000000001</v>
      </c>
      <c r="F8" s="13">
        <v>13.0822</v>
      </c>
      <c r="G8" s="13">
        <v>4.9000000000000004</v>
      </c>
      <c r="H8" s="13">
        <v>87.48</v>
      </c>
      <c r="I8" s="13">
        <v>7.62</v>
      </c>
    </row>
    <row r="9" spans="1:9" x14ac:dyDescent="0.2">
      <c r="A9" s="15">
        <v>2</v>
      </c>
      <c r="B9" s="7" t="s">
        <v>2</v>
      </c>
      <c r="C9" s="7">
        <f t="shared" si="0"/>
        <v>0</v>
      </c>
      <c r="D9" s="7">
        <v>0.38429999999999997</v>
      </c>
      <c r="E9" s="7">
        <v>0.4572</v>
      </c>
      <c r="F9" s="13">
        <v>13.0822</v>
      </c>
      <c r="G9" s="13">
        <v>4.9000000000000004</v>
      </c>
      <c r="H9" s="13">
        <v>87.48</v>
      </c>
      <c r="I9" s="13">
        <v>7.62</v>
      </c>
    </row>
    <row r="10" spans="1:9" x14ac:dyDescent="0.2">
      <c r="A10" s="15">
        <v>3</v>
      </c>
      <c r="B10" s="7" t="s">
        <v>2</v>
      </c>
      <c r="C10" s="7">
        <f t="shared" si="0"/>
        <v>0</v>
      </c>
      <c r="D10" s="7">
        <v>1.1829000000000001</v>
      </c>
      <c r="E10" s="7">
        <v>0.75819999999999999</v>
      </c>
      <c r="F10" s="13">
        <v>14.7315</v>
      </c>
      <c r="G10" s="13">
        <v>0.14000000000000001</v>
      </c>
      <c r="H10" s="13">
        <v>91.88</v>
      </c>
      <c r="I10" s="13">
        <v>7.98</v>
      </c>
    </row>
    <row r="11" spans="1:9" x14ac:dyDescent="0.2">
      <c r="A11" s="15">
        <v>4</v>
      </c>
      <c r="B11" s="7" t="s">
        <v>2</v>
      </c>
      <c r="C11" s="7">
        <f t="shared" si="0"/>
        <v>0</v>
      </c>
      <c r="D11" s="7">
        <v>0.70930000000000004</v>
      </c>
      <c r="E11" s="7">
        <v>0.38600000000000001</v>
      </c>
      <c r="F11" s="13">
        <v>13.4703</v>
      </c>
      <c r="G11" s="13">
        <v>0</v>
      </c>
      <c r="H11" s="13">
        <v>98.73</v>
      </c>
      <c r="I11" s="13">
        <v>1.27</v>
      </c>
    </row>
    <row r="12" spans="1:9" x14ac:dyDescent="0.2">
      <c r="A12" s="15">
        <v>5</v>
      </c>
      <c r="B12" s="7" t="s">
        <v>2</v>
      </c>
      <c r="C12" s="7">
        <f t="shared" si="0"/>
        <v>0</v>
      </c>
      <c r="D12" s="7">
        <v>0.71660000000000001</v>
      </c>
      <c r="E12" s="7">
        <v>0.629</v>
      </c>
      <c r="F12" s="13">
        <v>13.504099999999999</v>
      </c>
      <c r="G12" s="13">
        <v>0.04</v>
      </c>
      <c r="H12" s="13">
        <v>93.13</v>
      </c>
      <c r="I12" s="13">
        <v>6.83</v>
      </c>
    </row>
    <row r="13" spans="1:9" x14ac:dyDescent="0.2">
      <c r="A13" s="15">
        <v>6</v>
      </c>
      <c r="B13" s="7" t="s">
        <v>2</v>
      </c>
      <c r="C13" s="7">
        <f t="shared" si="0"/>
        <v>0</v>
      </c>
      <c r="D13" s="7">
        <v>0.40610000000000002</v>
      </c>
      <c r="E13" s="7">
        <v>0.46060000000000001</v>
      </c>
      <c r="F13" s="13">
        <v>13.4023</v>
      </c>
      <c r="G13" s="13">
        <v>0.22</v>
      </c>
      <c r="H13" s="13">
        <v>95.44</v>
      </c>
      <c r="I13" s="13">
        <v>4.34</v>
      </c>
    </row>
    <row r="14" spans="1:9" x14ac:dyDescent="0.2">
      <c r="A14" s="15">
        <v>7</v>
      </c>
      <c r="B14" s="7" t="s">
        <v>2</v>
      </c>
      <c r="C14" s="7">
        <f t="shared" si="0"/>
        <v>0</v>
      </c>
      <c r="D14" s="7">
        <v>0.97640000000000005</v>
      </c>
      <c r="E14" s="7">
        <v>0.44379999999999997</v>
      </c>
      <c r="F14" s="13">
        <v>13.516400000000001</v>
      </c>
      <c r="G14" s="13">
        <v>2.02</v>
      </c>
      <c r="H14" s="13">
        <v>57.6</v>
      </c>
      <c r="I14" s="13">
        <v>40.380000000000003</v>
      </c>
    </row>
    <row r="15" spans="1:9" x14ac:dyDescent="0.2">
      <c r="A15" s="16">
        <v>3069</v>
      </c>
      <c r="B15" s="6" t="s">
        <v>12</v>
      </c>
      <c r="C15" s="7">
        <f t="shared" si="0"/>
        <v>1</v>
      </c>
      <c r="D15" s="14">
        <v>0.37</v>
      </c>
      <c r="E15" s="14">
        <v>0.317</v>
      </c>
      <c r="F15" s="14">
        <v>9.8214000000000006</v>
      </c>
      <c r="G15" s="14">
        <v>32.94</v>
      </c>
      <c r="H15" s="14">
        <v>3.04</v>
      </c>
      <c r="I15" s="14">
        <v>64.02</v>
      </c>
    </row>
    <row r="16" spans="1:9" x14ac:dyDescent="0.2">
      <c r="A16" s="16" t="s">
        <v>13</v>
      </c>
      <c r="B16" s="6" t="s">
        <v>14</v>
      </c>
      <c r="C16" s="7">
        <f t="shared" si="0"/>
        <v>0</v>
      </c>
      <c r="D16" s="14">
        <v>0.46960000000000002</v>
      </c>
      <c r="E16" s="14">
        <v>0.33879999999999999</v>
      </c>
      <c r="F16" s="14">
        <v>8.5349000000000004</v>
      </c>
      <c r="G16" s="14">
        <v>93.25</v>
      </c>
      <c r="H16" s="14">
        <v>0.15</v>
      </c>
      <c r="I16" s="14">
        <v>6.6</v>
      </c>
    </row>
    <row r="17" spans="1:9" x14ac:dyDescent="0.2">
      <c r="A17" s="16" t="s">
        <v>15</v>
      </c>
      <c r="B17" s="6" t="s">
        <v>14</v>
      </c>
      <c r="C17" s="7">
        <f t="shared" si="0"/>
        <v>0</v>
      </c>
      <c r="D17" s="14">
        <v>0.30559999999999998</v>
      </c>
      <c r="E17" s="14">
        <v>0.23860000000000001</v>
      </c>
      <c r="F17" s="14">
        <v>8.1471</v>
      </c>
      <c r="G17" s="14">
        <v>92.2</v>
      </c>
      <c r="H17" s="14">
        <v>1.35</v>
      </c>
      <c r="I17" s="14">
        <v>6.45</v>
      </c>
    </row>
    <row r="18" spans="1:9" x14ac:dyDescent="0.2">
      <c r="A18" s="16" t="s">
        <v>16</v>
      </c>
      <c r="B18" s="6" t="s">
        <v>14</v>
      </c>
      <c r="C18" s="7">
        <f t="shared" si="0"/>
        <v>0</v>
      </c>
      <c r="D18" s="14">
        <v>0.3604</v>
      </c>
      <c r="E18" s="14">
        <v>0.46860000000000002</v>
      </c>
      <c r="F18" s="14">
        <v>11.778600000000001</v>
      </c>
      <c r="G18" s="14">
        <v>1.61</v>
      </c>
      <c r="H18" s="14">
        <v>58.83</v>
      </c>
      <c r="I18" s="14">
        <v>39.56</v>
      </c>
    </row>
    <row r="19" spans="1:9" x14ac:dyDescent="0.2">
      <c r="A19" s="16" t="s">
        <v>17</v>
      </c>
      <c r="B19" s="6" t="s">
        <v>12</v>
      </c>
      <c r="C19" s="7">
        <f t="shared" si="0"/>
        <v>1</v>
      </c>
      <c r="D19" s="14">
        <v>0.31809999999999999</v>
      </c>
      <c r="E19" s="14">
        <v>0.40239999999999998</v>
      </c>
      <c r="F19" s="14">
        <v>8.3755000000000006</v>
      </c>
      <c r="G19" s="14">
        <v>83.14</v>
      </c>
      <c r="H19" s="14">
        <v>0.06</v>
      </c>
      <c r="I19" s="14">
        <v>16.8</v>
      </c>
    </row>
    <row r="20" spans="1:9" x14ac:dyDescent="0.2">
      <c r="A20" s="16" t="s">
        <v>18</v>
      </c>
      <c r="B20" s="6" t="s">
        <v>12</v>
      </c>
      <c r="C20" s="7">
        <f t="shared" si="0"/>
        <v>1</v>
      </c>
      <c r="D20" s="14">
        <v>0.33229999999999998</v>
      </c>
      <c r="E20" s="14">
        <v>0.33279999999999998</v>
      </c>
      <c r="F20" s="14">
        <v>10.591699999999999</v>
      </c>
      <c r="G20" s="14">
        <v>3.99</v>
      </c>
      <c r="H20" s="14">
        <v>12.77</v>
      </c>
      <c r="I20" s="14">
        <v>83.24</v>
      </c>
    </row>
    <row r="21" spans="1:9" x14ac:dyDescent="0.2">
      <c r="A21" s="16" t="s">
        <v>19</v>
      </c>
      <c r="B21" s="6" t="s">
        <v>20</v>
      </c>
      <c r="C21" s="7">
        <f t="shared" si="0"/>
        <v>0</v>
      </c>
      <c r="D21" s="14">
        <v>0.34039999999999998</v>
      </c>
      <c r="E21" s="14">
        <v>0.39979999999999999</v>
      </c>
      <c r="F21" s="14">
        <v>7.5930999999999997</v>
      </c>
      <c r="G21" s="14">
        <v>84.5</v>
      </c>
      <c r="H21" s="14">
        <v>0.82</v>
      </c>
      <c r="I21" s="14">
        <v>14.68</v>
      </c>
    </row>
    <row r="22" spans="1:9" x14ac:dyDescent="0.2">
      <c r="A22" s="16" t="s">
        <v>21</v>
      </c>
      <c r="B22" s="6" t="s">
        <v>22</v>
      </c>
      <c r="C22" s="7">
        <f t="shared" si="0"/>
        <v>0</v>
      </c>
      <c r="D22" s="14">
        <v>0.65569999999999995</v>
      </c>
      <c r="E22" s="14">
        <v>0.38879999999999998</v>
      </c>
      <c r="F22" s="14">
        <v>10.680999999999999</v>
      </c>
      <c r="G22" s="14">
        <v>13.69</v>
      </c>
      <c r="H22" s="14">
        <v>27.51</v>
      </c>
      <c r="I22" s="14">
        <v>58.8</v>
      </c>
    </row>
    <row r="23" spans="1:9" x14ac:dyDescent="0.2">
      <c r="A23" s="16" t="s">
        <v>23</v>
      </c>
      <c r="B23" s="6" t="s">
        <v>20</v>
      </c>
      <c r="C23" s="7">
        <f t="shared" si="0"/>
        <v>0</v>
      </c>
      <c r="D23" s="14">
        <v>0.81340000000000001</v>
      </c>
      <c r="E23" s="14">
        <v>0.71679999999999999</v>
      </c>
      <c r="F23" s="14">
        <v>9.8705999999999996</v>
      </c>
      <c r="G23" s="14">
        <v>43.15</v>
      </c>
      <c r="H23" s="14">
        <v>29.27</v>
      </c>
      <c r="I23" s="14">
        <v>27.58</v>
      </c>
    </row>
    <row r="24" spans="1:9" x14ac:dyDescent="0.2">
      <c r="A24" s="16" t="s">
        <v>24</v>
      </c>
      <c r="B24" s="6" t="s">
        <v>12</v>
      </c>
      <c r="C24" s="7">
        <f t="shared" si="0"/>
        <v>1</v>
      </c>
      <c r="D24" s="14">
        <v>0.3337</v>
      </c>
      <c r="E24" s="14">
        <v>0.38619999999999999</v>
      </c>
      <c r="F24" s="14">
        <v>8.4784000000000006</v>
      </c>
      <c r="G24" s="14">
        <v>91.64</v>
      </c>
      <c r="H24" s="14">
        <v>2.14</v>
      </c>
      <c r="I24" s="14">
        <v>6.23</v>
      </c>
    </row>
    <row r="25" spans="1:9" x14ac:dyDescent="0.2">
      <c r="A25" s="16" t="s">
        <v>25</v>
      </c>
      <c r="B25" s="6" t="s">
        <v>12</v>
      </c>
      <c r="C25" s="7">
        <f t="shared" si="0"/>
        <v>1</v>
      </c>
      <c r="D25" s="14">
        <v>0.35360000000000003</v>
      </c>
      <c r="E25" s="14">
        <v>0.45479999999999998</v>
      </c>
      <c r="F25" s="14">
        <v>8.9618000000000002</v>
      </c>
      <c r="G25" s="14">
        <v>64.069999999999993</v>
      </c>
      <c r="H25" s="14">
        <v>2.93</v>
      </c>
      <c r="I25" s="14">
        <v>33.01</v>
      </c>
    </row>
    <row r="26" spans="1:9" x14ac:dyDescent="0.2">
      <c r="A26" s="16" t="s">
        <v>26</v>
      </c>
      <c r="B26" s="6" t="s">
        <v>14</v>
      </c>
      <c r="C26" s="7">
        <f t="shared" si="0"/>
        <v>0</v>
      </c>
      <c r="D26" s="14">
        <v>0.31440000000000001</v>
      </c>
      <c r="E26" s="14">
        <v>0.40339999999999998</v>
      </c>
      <c r="F26" s="14">
        <v>7.1809000000000003</v>
      </c>
      <c r="G26" s="14">
        <v>90.97</v>
      </c>
      <c r="H26" s="14">
        <v>1.24</v>
      </c>
      <c r="I26" s="14">
        <v>7.79</v>
      </c>
    </row>
    <row r="27" spans="1:9" x14ac:dyDescent="0.2">
      <c r="A27" s="16" t="s">
        <v>27</v>
      </c>
      <c r="B27" s="6" t="s">
        <v>20</v>
      </c>
      <c r="C27" s="7">
        <f t="shared" si="0"/>
        <v>0</v>
      </c>
      <c r="D27" s="14">
        <v>0.35089999999999999</v>
      </c>
      <c r="E27" s="14">
        <v>0.3548</v>
      </c>
      <c r="F27" s="14">
        <v>12.519299999999999</v>
      </c>
      <c r="G27" s="14">
        <v>0</v>
      </c>
      <c r="H27" s="14">
        <v>98.23</v>
      </c>
      <c r="I27" s="14">
        <v>1.77</v>
      </c>
    </row>
    <row r="28" spans="1:9" x14ac:dyDescent="0.2">
      <c r="A28" s="16" t="s">
        <v>28</v>
      </c>
      <c r="B28" s="6" t="s">
        <v>22</v>
      </c>
      <c r="C28" s="7">
        <f t="shared" si="0"/>
        <v>0</v>
      </c>
      <c r="D28" s="14">
        <v>0.77329999999999999</v>
      </c>
      <c r="E28" s="14">
        <v>0.43719999999999998</v>
      </c>
      <c r="F28" s="14">
        <v>12.6844</v>
      </c>
      <c r="G28" s="14">
        <v>1.17</v>
      </c>
      <c r="H28" s="14">
        <v>78.61</v>
      </c>
      <c r="I28" s="14">
        <v>20.22</v>
      </c>
    </row>
    <row r="29" spans="1:9" x14ac:dyDescent="0.2">
      <c r="A29" s="16" t="s">
        <v>29</v>
      </c>
      <c r="B29" s="6" t="s">
        <v>20</v>
      </c>
      <c r="C29" s="7">
        <f t="shared" si="0"/>
        <v>0</v>
      </c>
      <c r="D29" s="14">
        <v>0.37959999999999999</v>
      </c>
      <c r="E29" s="14">
        <v>0.4672</v>
      </c>
      <c r="F29" s="14">
        <v>10.4771</v>
      </c>
      <c r="G29" s="14">
        <v>13.65</v>
      </c>
      <c r="H29" s="14">
        <v>13.87</v>
      </c>
      <c r="I29" s="14">
        <v>72.489999999999995</v>
      </c>
    </row>
    <row r="30" spans="1:9" x14ac:dyDescent="0.2">
      <c r="A30" s="16" t="s">
        <v>30</v>
      </c>
      <c r="B30" s="6" t="s">
        <v>14</v>
      </c>
      <c r="C30" s="7">
        <f t="shared" si="0"/>
        <v>0</v>
      </c>
      <c r="D30" s="14">
        <v>0.59670000000000001</v>
      </c>
      <c r="E30" s="14">
        <v>0.3866</v>
      </c>
      <c r="F30" s="14">
        <v>10.2715</v>
      </c>
      <c r="G30" s="14">
        <v>35.479999999999997</v>
      </c>
      <c r="H30" s="14">
        <v>21.96</v>
      </c>
      <c r="I30" s="14">
        <v>42.56</v>
      </c>
    </row>
    <row r="31" spans="1:9" x14ac:dyDescent="0.2">
      <c r="A31" s="16">
        <v>1941</v>
      </c>
      <c r="B31" s="6" t="s">
        <v>22</v>
      </c>
      <c r="C31" s="7">
        <f t="shared" si="0"/>
        <v>0</v>
      </c>
      <c r="D31" s="14">
        <v>0.30470000000000003</v>
      </c>
      <c r="E31" s="14">
        <v>0.46960000000000002</v>
      </c>
      <c r="F31" s="14">
        <v>13.258800000000001</v>
      </c>
      <c r="G31" s="14">
        <v>0.01</v>
      </c>
      <c r="H31" s="14">
        <v>96.53</v>
      </c>
      <c r="I31" s="14">
        <v>3.46</v>
      </c>
    </row>
    <row r="32" spans="1:9" x14ac:dyDescent="0.2">
      <c r="A32" s="16" t="s">
        <v>31</v>
      </c>
      <c r="B32" s="6" t="s">
        <v>20</v>
      </c>
      <c r="C32" s="7">
        <f t="shared" si="0"/>
        <v>0</v>
      </c>
      <c r="D32" s="14">
        <v>0.52290000000000003</v>
      </c>
      <c r="E32" s="14">
        <v>0.47039999999999998</v>
      </c>
      <c r="F32" s="14">
        <v>10.3752</v>
      </c>
      <c r="G32" s="14">
        <v>20.93</v>
      </c>
      <c r="H32" s="14">
        <v>13.2</v>
      </c>
      <c r="I32" s="14">
        <v>65.87</v>
      </c>
    </row>
    <row r="33" spans="1:9" x14ac:dyDescent="0.2">
      <c r="A33" s="16">
        <v>1682</v>
      </c>
      <c r="B33" s="6" t="s">
        <v>22</v>
      </c>
      <c r="C33" s="7">
        <f t="shared" si="0"/>
        <v>0</v>
      </c>
      <c r="D33" s="14">
        <v>0.874</v>
      </c>
      <c r="E33" s="14">
        <v>0.41320000000000001</v>
      </c>
      <c r="F33" s="14">
        <v>14.1008</v>
      </c>
      <c r="G33" s="14">
        <v>0.28000000000000003</v>
      </c>
      <c r="H33" s="14">
        <v>93.91</v>
      </c>
      <c r="I33" s="14">
        <v>5.81</v>
      </c>
    </row>
    <row r="34" spans="1:9" x14ac:dyDescent="0.2">
      <c r="A34" s="16">
        <v>1739</v>
      </c>
      <c r="B34" s="6" t="s">
        <v>22</v>
      </c>
      <c r="C34" s="7">
        <f t="shared" si="0"/>
        <v>0</v>
      </c>
      <c r="D34" s="14">
        <v>0.37790000000000001</v>
      </c>
      <c r="E34" s="14">
        <v>0.33179999999999998</v>
      </c>
      <c r="F34" s="14">
        <v>10.250400000000001</v>
      </c>
      <c r="G34" s="14">
        <v>20.84</v>
      </c>
      <c r="H34" s="14">
        <v>10.35</v>
      </c>
      <c r="I34" s="14">
        <v>68.8</v>
      </c>
    </row>
    <row r="35" spans="1:9" x14ac:dyDescent="0.2">
      <c r="A35" s="17">
        <v>3059</v>
      </c>
      <c r="B35" t="s">
        <v>12</v>
      </c>
      <c r="C35" s="7">
        <f t="shared" si="0"/>
        <v>1</v>
      </c>
      <c r="D35">
        <v>0.39600000000000002</v>
      </c>
      <c r="E35">
        <v>0.62060000000000004</v>
      </c>
      <c r="F35">
        <v>10.7796</v>
      </c>
      <c r="G35">
        <v>7.95</v>
      </c>
      <c r="H35">
        <v>21.52</v>
      </c>
      <c r="I35">
        <v>70.53</v>
      </c>
    </row>
    <row r="36" spans="1:9" x14ac:dyDescent="0.2">
      <c r="A36" s="17">
        <v>3062</v>
      </c>
      <c r="B36" t="s">
        <v>12</v>
      </c>
      <c r="C36" s="7">
        <f t="shared" si="0"/>
        <v>1</v>
      </c>
      <c r="D36">
        <v>0.35170000000000001</v>
      </c>
      <c r="E36">
        <v>0.49919999999999998</v>
      </c>
      <c r="F36">
        <v>8.7093000000000007</v>
      </c>
      <c r="G36">
        <v>87.87</v>
      </c>
      <c r="H36">
        <v>0.46</v>
      </c>
      <c r="I36">
        <v>11.67</v>
      </c>
    </row>
    <row r="37" spans="1:9" x14ac:dyDescent="0.2">
      <c r="A37" s="17">
        <v>3063</v>
      </c>
      <c r="B37" t="s">
        <v>12</v>
      </c>
      <c r="C37" s="7">
        <f t="shared" si="0"/>
        <v>1</v>
      </c>
      <c r="D37">
        <v>0.35170000000000001</v>
      </c>
      <c r="E37">
        <v>0.49919999999999998</v>
      </c>
      <c r="F37">
        <v>12.597899999999999</v>
      </c>
      <c r="G37">
        <v>6.14</v>
      </c>
      <c r="H37">
        <v>58.17</v>
      </c>
      <c r="I37">
        <v>35.69</v>
      </c>
    </row>
    <row r="38" spans="1:9" x14ac:dyDescent="0.2">
      <c r="A38" s="17">
        <v>3066</v>
      </c>
      <c r="B38" t="s">
        <v>12</v>
      </c>
      <c r="C38" s="7">
        <f t="shared" si="0"/>
        <v>1</v>
      </c>
      <c r="D38">
        <v>0.2999</v>
      </c>
      <c r="E38">
        <v>0.46579999999999999</v>
      </c>
      <c r="F38">
        <v>10.6745</v>
      </c>
      <c r="G38">
        <v>15.2</v>
      </c>
      <c r="H38">
        <v>22.26</v>
      </c>
      <c r="I38">
        <v>62.54</v>
      </c>
    </row>
    <row r="39" spans="1:9" x14ac:dyDescent="0.2">
      <c r="A39" s="17">
        <v>3067</v>
      </c>
      <c r="B39" t="s">
        <v>12</v>
      </c>
      <c r="C39" s="7">
        <f t="shared" si="0"/>
        <v>1</v>
      </c>
      <c r="D39">
        <v>0.47499999999999998</v>
      </c>
      <c r="E39">
        <v>0.48720000000000002</v>
      </c>
      <c r="F39">
        <v>10.907299999999999</v>
      </c>
      <c r="G39">
        <v>19.670000000000002</v>
      </c>
      <c r="H39">
        <v>36.81</v>
      </c>
      <c r="I39">
        <v>43.52</v>
      </c>
    </row>
    <row r="40" spans="1:9" x14ac:dyDescent="0.2">
      <c r="A40" s="17">
        <v>3068</v>
      </c>
      <c r="B40" t="s">
        <v>12</v>
      </c>
      <c r="C40" s="7">
        <f t="shared" si="0"/>
        <v>1</v>
      </c>
      <c r="D40">
        <v>0.37540000000000001</v>
      </c>
      <c r="E40">
        <v>0.38279999999999997</v>
      </c>
      <c r="F40">
        <v>10.657999999999999</v>
      </c>
      <c r="G40">
        <v>18.59</v>
      </c>
      <c r="H40">
        <v>22.58</v>
      </c>
      <c r="I40">
        <v>58.83</v>
      </c>
    </row>
    <row r="41" spans="1:9" x14ac:dyDescent="0.2">
      <c r="A41" s="17">
        <v>3071</v>
      </c>
      <c r="B41" t="s">
        <v>12</v>
      </c>
      <c r="C41" s="7">
        <f t="shared" si="0"/>
        <v>1</v>
      </c>
      <c r="D41">
        <v>0.34410000000000002</v>
      </c>
      <c r="E41">
        <v>0.50119999999999998</v>
      </c>
      <c r="F41">
        <v>7.7319000000000004</v>
      </c>
      <c r="G41">
        <v>88.53</v>
      </c>
      <c r="H41">
        <v>1.31</v>
      </c>
      <c r="I41">
        <v>10.15</v>
      </c>
    </row>
    <row r="42" spans="1:9" x14ac:dyDescent="0.2">
      <c r="A42" s="17">
        <v>3072</v>
      </c>
      <c r="B42" t="s">
        <v>12</v>
      </c>
      <c r="C42" s="7">
        <f t="shared" si="0"/>
        <v>1</v>
      </c>
      <c r="D42">
        <v>0.31809999999999999</v>
      </c>
      <c r="E42">
        <v>0.41120000000000001</v>
      </c>
      <c r="F42">
        <v>11.948600000000001</v>
      </c>
      <c r="G42">
        <v>0.8</v>
      </c>
      <c r="H42">
        <v>70.17</v>
      </c>
      <c r="I42">
        <v>29.02</v>
      </c>
    </row>
    <row r="43" spans="1:9" x14ac:dyDescent="0.2">
      <c r="A43" s="17">
        <v>3073</v>
      </c>
      <c r="B43" t="s">
        <v>12</v>
      </c>
      <c r="C43" s="7">
        <f t="shared" si="0"/>
        <v>1</v>
      </c>
      <c r="D43">
        <v>0.30309999999999998</v>
      </c>
      <c r="E43">
        <v>0.443</v>
      </c>
      <c r="F43">
        <v>12.077199999999999</v>
      </c>
      <c r="G43">
        <v>2.44</v>
      </c>
      <c r="H43">
        <v>70.38</v>
      </c>
      <c r="I43">
        <v>27.17</v>
      </c>
    </row>
    <row r="44" spans="1:9" x14ac:dyDescent="0.2">
      <c r="A44" s="17">
        <v>3075</v>
      </c>
      <c r="B44" t="s">
        <v>12</v>
      </c>
      <c r="C44" s="7">
        <f t="shared" si="0"/>
        <v>1</v>
      </c>
      <c r="D44">
        <v>0.30270000000000002</v>
      </c>
      <c r="E44">
        <v>0.35959999999999998</v>
      </c>
      <c r="F44">
        <v>9.6016999999999992</v>
      </c>
      <c r="G44">
        <v>46.53</v>
      </c>
      <c r="H44">
        <v>2.89</v>
      </c>
      <c r="I44">
        <v>50.58</v>
      </c>
    </row>
    <row r="45" spans="1:9" x14ac:dyDescent="0.2">
      <c r="A45" s="17">
        <v>3076</v>
      </c>
      <c r="B45" t="s">
        <v>12</v>
      </c>
      <c r="C45" s="7">
        <f t="shared" si="0"/>
        <v>1</v>
      </c>
      <c r="D45">
        <v>0.33589999999999998</v>
      </c>
      <c r="E45">
        <v>0.46600000000000003</v>
      </c>
      <c r="F45">
        <v>11.154299999999999</v>
      </c>
      <c r="G45">
        <v>7.71</v>
      </c>
      <c r="H45">
        <v>41.37</v>
      </c>
      <c r="I45">
        <v>50.92</v>
      </c>
    </row>
    <row r="46" spans="1:9" x14ac:dyDescent="0.2">
      <c r="A46" s="17">
        <v>3077</v>
      </c>
      <c r="B46" t="s">
        <v>12</v>
      </c>
      <c r="C46" s="7">
        <f t="shared" si="0"/>
        <v>1</v>
      </c>
      <c r="D46">
        <v>0.30530000000000002</v>
      </c>
      <c r="E46">
        <v>0.47699999999999998</v>
      </c>
      <c r="F46">
        <v>9.0709</v>
      </c>
      <c r="G46">
        <v>73.33</v>
      </c>
      <c r="H46">
        <v>0.68</v>
      </c>
      <c r="I46">
        <v>25.99</v>
      </c>
    </row>
    <row r="47" spans="1:9" x14ac:dyDescent="0.2">
      <c r="A47" s="17">
        <v>3078</v>
      </c>
      <c r="B47" t="s">
        <v>12</v>
      </c>
      <c r="C47" s="7">
        <f t="shared" si="0"/>
        <v>1</v>
      </c>
      <c r="D47">
        <v>0.32540000000000002</v>
      </c>
      <c r="E47">
        <v>0.3412</v>
      </c>
      <c r="F47">
        <v>10.3232</v>
      </c>
      <c r="G47">
        <v>15.83</v>
      </c>
      <c r="H47">
        <v>10.119999999999999</v>
      </c>
      <c r="I47">
        <v>74.040000000000006</v>
      </c>
    </row>
    <row r="48" spans="1:9" x14ac:dyDescent="0.2">
      <c r="A48" s="17">
        <v>3079</v>
      </c>
      <c r="B48" t="s">
        <v>12</v>
      </c>
      <c r="C48" s="7">
        <f t="shared" si="0"/>
        <v>1</v>
      </c>
      <c r="D48">
        <v>0.35070000000000001</v>
      </c>
      <c r="E48">
        <v>0.78180000000000005</v>
      </c>
      <c r="F48">
        <v>10.8583</v>
      </c>
      <c r="G48">
        <v>5.26</v>
      </c>
      <c r="H48">
        <v>17.079999999999998</v>
      </c>
      <c r="I48">
        <v>77.66</v>
      </c>
    </row>
    <row r="49" spans="1:9" x14ac:dyDescent="0.2">
      <c r="A49" s="17">
        <v>3080</v>
      </c>
      <c r="B49" t="s">
        <v>12</v>
      </c>
      <c r="C49" s="7">
        <f t="shared" si="0"/>
        <v>1</v>
      </c>
      <c r="D49">
        <v>0.37</v>
      </c>
      <c r="E49">
        <v>0.65639999999999998</v>
      </c>
      <c r="F49">
        <v>10.795999999999999</v>
      </c>
      <c r="G49">
        <v>23.59</v>
      </c>
      <c r="H49">
        <v>35.28</v>
      </c>
      <c r="I49">
        <v>41.14</v>
      </c>
    </row>
    <row r="50" spans="1:9" x14ac:dyDescent="0.2">
      <c r="A50" s="17">
        <v>3085</v>
      </c>
      <c r="B50" t="s">
        <v>12</v>
      </c>
      <c r="C50" s="7">
        <f t="shared" si="0"/>
        <v>1</v>
      </c>
      <c r="D50">
        <v>0.2959</v>
      </c>
      <c r="E50">
        <v>0.31680000000000003</v>
      </c>
      <c r="F50">
        <v>9.1516000000000002</v>
      </c>
      <c r="G50">
        <v>76.12</v>
      </c>
      <c r="H50">
        <v>3.67</v>
      </c>
      <c r="I50">
        <v>20.2</v>
      </c>
    </row>
    <row r="51" spans="1:9" x14ac:dyDescent="0.2">
      <c r="A51" s="17">
        <v>3086</v>
      </c>
      <c r="B51" t="s">
        <v>12</v>
      </c>
      <c r="C51" s="7">
        <f t="shared" si="0"/>
        <v>1</v>
      </c>
      <c r="D51">
        <v>0.2747</v>
      </c>
      <c r="E51">
        <v>0.307</v>
      </c>
      <c r="F51">
        <v>7.5324</v>
      </c>
      <c r="G51">
        <v>99.39</v>
      </c>
      <c r="H51">
        <v>0</v>
      </c>
      <c r="I51">
        <v>0.61</v>
      </c>
    </row>
    <row r="52" spans="1:9" x14ac:dyDescent="0.2">
      <c r="A52" s="17">
        <v>3087</v>
      </c>
      <c r="B52" t="s">
        <v>12</v>
      </c>
      <c r="C52" s="7">
        <f t="shared" si="0"/>
        <v>1</v>
      </c>
      <c r="D52">
        <v>0.39340000000000003</v>
      </c>
      <c r="E52">
        <v>0.50700000000000001</v>
      </c>
      <c r="F52">
        <v>11.4284</v>
      </c>
      <c r="G52">
        <v>12.79</v>
      </c>
      <c r="H52">
        <v>53.75</v>
      </c>
      <c r="I52">
        <v>33.46</v>
      </c>
    </row>
    <row r="53" spans="1:9" x14ac:dyDescent="0.2">
      <c r="A53" s="17">
        <v>3088</v>
      </c>
      <c r="B53" t="s">
        <v>12</v>
      </c>
      <c r="C53" s="7">
        <f t="shared" si="0"/>
        <v>1</v>
      </c>
      <c r="D53">
        <v>0.33629999999999999</v>
      </c>
      <c r="E53">
        <v>0.39939999999999998</v>
      </c>
      <c r="F53">
        <v>10.458500000000001</v>
      </c>
      <c r="G53">
        <v>39.61</v>
      </c>
      <c r="H53">
        <v>35.630000000000003</v>
      </c>
      <c r="I53">
        <v>24.76</v>
      </c>
    </row>
    <row r="54" spans="1:9" x14ac:dyDescent="0.2">
      <c r="A54" s="17">
        <v>3091</v>
      </c>
      <c r="B54" t="s">
        <v>12</v>
      </c>
      <c r="C54" s="7">
        <f t="shared" si="0"/>
        <v>1</v>
      </c>
      <c r="D54">
        <v>0.32490000000000002</v>
      </c>
      <c r="E54">
        <v>0.3362</v>
      </c>
      <c r="F54">
        <v>12.402799999999999</v>
      </c>
      <c r="G54">
        <v>5.83</v>
      </c>
      <c r="H54">
        <v>64.56</v>
      </c>
      <c r="I54">
        <v>29.61</v>
      </c>
    </row>
    <row r="55" spans="1:9" x14ac:dyDescent="0.2">
      <c r="A55" s="17">
        <v>3099</v>
      </c>
      <c r="B55" t="s">
        <v>12</v>
      </c>
      <c r="C55" s="7">
        <f t="shared" si="0"/>
        <v>1</v>
      </c>
      <c r="D55">
        <v>0.37630000000000002</v>
      </c>
      <c r="E55">
        <v>0.31900000000000001</v>
      </c>
      <c r="F55">
        <v>11.3621</v>
      </c>
      <c r="G55">
        <v>3.58</v>
      </c>
      <c r="H55">
        <v>46.88</v>
      </c>
      <c r="I55">
        <v>49.54</v>
      </c>
    </row>
    <row r="56" spans="1:9" x14ac:dyDescent="0.2">
      <c r="A56" s="17">
        <v>3100</v>
      </c>
      <c r="B56" t="s">
        <v>12</v>
      </c>
      <c r="C56" s="7">
        <f t="shared" si="0"/>
        <v>1</v>
      </c>
      <c r="D56">
        <v>0.57340000000000002</v>
      </c>
      <c r="E56">
        <v>0.56559999999999999</v>
      </c>
      <c r="F56">
        <v>12.2011</v>
      </c>
      <c r="G56">
        <v>0.66</v>
      </c>
      <c r="H56">
        <v>62.95</v>
      </c>
      <c r="I56">
        <v>36.39</v>
      </c>
    </row>
    <row r="57" spans="1:9" x14ac:dyDescent="0.2">
      <c r="A57" s="17">
        <v>3101</v>
      </c>
      <c r="B57" t="s">
        <v>12</v>
      </c>
      <c r="C57" s="7">
        <f t="shared" si="0"/>
        <v>1</v>
      </c>
      <c r="D57">
        <v>0.33129999999999998</v>
      </c>
      <c r="E57">
        <v>0.37919999999999998</v>
      </c>
      <c r="F57">
        <v>10.809200000000001</v>
      </c>
      <c r="G57">
        <v>12.85</v>
      </c>
      <c r="H57">
        <v>31.17</v>
      </c>
      <c r="I57">
        <v>55.98</v>
      </c>
    </row>
    <row r="58" spans="1:9" x14ac:dyDescent="0.2">
      <c r="A58" s="17">
        <v>3103</v>
      </c>
      <c r="B58" t="s">
        <v>12</v>
      </c>
      <c r="C58" s="7">
        <f t="shared" si="0"/>
        <v>1</v>
      </c>
      <c r="D58">
        <v>0.30470000000000003</v>
      </c>
      <c r="E58">
        <v>0.37380000000000002</v>
      </c>
      <c r="F58">
        <v>8.5986999999999991</v>
      </c>
      <c r="G58">
        <v>78.62</v>
      </c>
      <c r="H58">
        <v>1.27</v>
      </c>
      <c r="I58">
        <v>20.11</v>
      </c>
    </row>
    <row r="59" spans="1:9" x14ac:dyDescent="0.2">
      <c r="A59" s="17">
        <v>3104</v>
      </c>
      <c r="B59" t="s">
        <v>12</v>
      </c>
      <c r="C59" s="7">
        <f t="shared" si="0"/>
        <v>1</v>
      </c>
      <c r="D59">
        <v>0.31009999999999999</v>
      </c>
      <c r="E59">
        <v>0.52139999999999997</v>
      </c>
      <c r="F59">
        <v>9.7111999999999998</v>
      </c>
      <c r="G59">
        <v>45.33</v>
      </c>
      <c r="H59">
        <v>12.35</v>
      </c>
      <c r="I59">
        <v>42.32</v>
      </c>
    </row>
    <row r="60" spans="1:9" x14ac:dyDescent="0.2">
      <c r="A60" s="17">
        <v>3108</v>
      </c>
      <c r="B60" t="s">
        <v>12</v>
      </c>
      <c r="C60" s="7">
        <f t="shared" si="0"/>
        <v>1</v>
      </c>
      <c r="D60">
        <v>0.31059999999999999</v>
      </c>
      <c r="E60">
        <v>0.62360000000000004</v>
      </c>
      <c r="F60">
        <v>11.283899999999999</v>
      </c>
      <c r="G60">
        <v>9.16</v>
      </c>
      <c r="H60">
        <v>47</v>
      </c>
      <c r="I60">
        <v>43.84</v>
      </c>
    </row>
    <row r="61" spans="1:9" x14ac:dyDescent="0.2">
      <c r="A61" s="18" t="s">
        <v>38</v>
      </c>
      <c r="B61" s="9" t="s">
        <v>14</v>
      </c>
      <c r="C61" s="9">
        <f t="shared" si="0"/>
        <v>0</v>
      </c>
      <c r="D61">
        <v>0.54700000000000004</v>
      </c>
      <c r="E61">
        <v>0.50419999999999998</v>
      </c>
      <c r="F61">
        <v>15.3277</v>
      </c>
      <c r="G61">
        <v>1.55</v>
      </c>
      <c r="H61">
        <v>95.53</v>
      </c>
      <c r="I61">
        <v>2.92</v>
      </c>
    </row>
    <row r="62" spans="1:9" x14ac:dyDescent="0.2">
      <c r="A62" s="18" t="s">
        <v>39</v>
      </c>
      <c r="B62" s="9" t="s">
        <v>14</v>
      </c>
      <c r="C62" s="9">
        <f t="shared" si="0"/>
        <v>0</v>
      </c>
      <c r="D62">
        <v>0.41489999999999999</v>
      </c>
      <c r="E62">
        <v>0.44319999999999998</v>
      </c>
      <c r="F62">
        <v>10.764799999999999</v>
      </c>
      <c r="G62">
        <v>21.01</v>
      </c>
      <c r="H62">
        <v>30.47</v>
      </c>
      <c r="I62">
        <v>48.52</v>
      </c>
    </row>
    <row r="63" spans="1:9" x14ac:dyDescent="0.2">
      <c r="A63" s="17" t="s">
        <v>40</v>
      </c>
      <c r="B63" s="9" t="s">
        <v>14</v>
      </c>
      <c r="C63" s="9">
        <f t="shared" si="0"/>
        <v>0</v>
      </c>
      <c r="D63">
        <v>0.31269999999999998</v>
      </c>
      <c r="E63">
        <v>0.40079999999999999</v>
      </c>
      <c r="F63">
        <v>8.4352999999999998</v>
      </c>
      <c r="G63">
        <v>80.760000000000005</v>
      </c>
      <c r="H63">
        <v>0.46</v>
      </c>
      <c r="I63">
        <v>18.78</v>
      </c>
    </row>
    <row r="64" spans="1:9" x14ac:dyDescent="0.2">
      <c r="A64" s="17" t="s">
        <v>41</v>
      </c>
      <c r="B64" s="9" t="s">
        <v>14</v>
      </c>
      <c r="C64" s="9">
        <f t="shared" si="0"/>
        <v>0</v>
      </c>
      <c r="D64">
        <v>0.52529999999999999</v>
      </c>
      <c r="E64">
        <v>0.39700000000000002</v>
      </c>
      <c r="F64">
        <v>10.555999999999999</v>
      </c>
      <c r="G64">
        <v>16.02</v>
      </c>
      <c r="H64">
        <v>25.96</v>
      </c>
      <c r="I64">
        <v>58.02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ded8b1b-070d-4629-82e4-c0b019f46057}" enabled="0" method="" siteId="{3ded8b1b-070d-4629-82e4-c0b019f4605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Ivana Tang</dc:creator>
  <cp:lastModifiedBy>Ivana Tang</cp:lastModifiedBy>
  <dcterms:created xsi:type="dcterms:W3CDTF">2026-03-26T21:01:21Z</dcterms:created>
  <dcterms:modified xsi:type="dcterms:W3CDTF">2026-04-28T23:52:11Z</dcterms:modified>
</cp:coreProperties>
</file>